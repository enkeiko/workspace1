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kei\workspace\3-OPS\2025\25_12m_04w\"/>
    </mc:Choice>
  </mc:AlternateContent>
  <xr:revisionPtr revIDLastSave="0" documentId="8_{1368F06E-F475-47E2-9164-C7E421F17F7F}" xr6:coauthVersionLast="47" xr6:coauthVersionMax="47" xr10:uidLastSave="{00000000-0000-0000-0000-000000000000}"/>
  <bookViews>
    <workbookView xWindow="-25710" yWindow="-110" windowWidth="25820" windowHeight="15620" activeTab="1" xr2:uid="{55E41063-841C-4BDD-A488-91613FD3ADBA}"/>
  </bookViews>
  <sheets>
    <sheet name="25_12m_4w " sheetId="38" r:id="rId1"/>
    <sheet name="25_12m_3w" sheetId="36" r:id="rId2"/>
    <sheet name="25_12m_3w_이쁘다헤어" sheetId="37" r:id="rId3"/>
    <sheet name="25_12m_2w)" sheetId="35" r:id="rId4"/>
    <sheet name="25_12m_1w" sheetId="34" r:id="rId5"/>
    <sheet name="12월_1주차_스포애니" sheetId="33" r:id="rId6"/>
    <sheet name="25_11m_4w )" sheetId="32" r:id="rId7"/>
    <sheet name="25_11m_3w" sheetId="30" r:id="rId8"/>
    <sheet name="11월_4주차_스포애니" sheetId="31" r:id="rId9"/>
    <sheet name="25_11m_2w (2)" sheetId="29" r:id="rId10"/>
    <sheet name="25_11m_1w" sheetId="28" r:id="rId11"/>
    <sheet name="2510m5w" sheetId="27" r:id="rId12"/>
    <sheet name="2510m4w " sheetId="25" r:id="rId13"/>
    <sheet name="2510m3w (2)" sheetId="24" r:id="rId14"/>
    <sheet name="2510m2w" sheetId="20" r:id="rId15"/>
    <sheet name="스포애니_10월_정산" sheetId="26" r:id="rId16"/>
    <sheet name="Sheet3 (2)" sheetId="23" r:id="rId17"/>
    <sheet name="Sheet4" sheetId="21" r:id="rId18"/>
    <sheet name="Sheet5" sheetId="22" r:id="rId19"/>
    <sheet name="251001" sheetId="17" r:id="rId20"/>
    <sheet name="250926" sheetId="16" r:id="rId21"/>
    <sheet name="Sheet3" sheetId="19" r:id="rId22"/>
    <sheet name="Sheet2" sheetId="18" r:id="rId23"/>
    <sheet name="250924" sheetId="15" r:id="rId24"/>
    <sheet name="250919" sheetId="14" r:id="rId25"/>
    <sheet name="250917" sheetId="13" r:id="rId26"/>
    <sheet name="250912" sheetId="12" r:id="rId27"/>
    <sheet name="250910" sheetId="11" r:id="rId28"/>
    <sheet name="250905" sheetId="10" r:id="rId29"/>
    <sheet name="250903" sheetId="9" r:id="rId30"/>
    <sheet name="250829" sheetId="8" r:id="rId31"/>
    <sheet name="250827" sheetId="7" r:id="rId32"/>
    <sheet name="250822" sheetId="6" r:id="rId33"/>
    <sheet name="250820" sheetId="5" r:id="rId34"/>
    <sheet name="250815" sheetId="4" r:id="rId35"/>
    <sheet name="250813" sheetId="3" r:id="rId36"/>
    <sheet name="250806" sheetId="1" r:id="rId37"/>
    <sheet name="250808" sheetId="2" r:id="rId38"/>
  </sheets>
  <definedNames>
    <definedName name="_xlnm._FilterDatabase" localSheetId="8" hidden="1">'11월_4주차_스포애니'!$A$1:$F$43</definedName>
    <definedName name="_xlnm._FilterDatabase" localSheetId="5" hidden="1">'12월_1주차_스포애니'!$A$2:$H$2</definedName>
    <definedName name="_xlnm._FilterDatabase" localSheetId="2" hidden="1">'25_12m_3w_이쁘다헤어'!$A$1:$F$23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23" i="38" l="1"/>
  <c r="E122" i="38"/>
  <c r="E121" i="38"/>
  <c r="E120" i="38"/>
  <c r="E119" i="38"/>
  <c r="E114" i="38"/>
  <c r="E113" i="38"/>
  <c r="E112" i="38"/>
  <c r="E101" i="38"/>
  <c r="E18" i="38"/>
  <c r="E17" i="38"/>
  <c r="E15" i="38"/>
  <c r="E14" i="38"/>
  <c r="E13" i="38"/>
  <c r="E12" i="38"/>
  <c r="E11" i="38"/>
  <c r="E10" i="38"/>
  <c r="E9" i="38"/>
  <c r="E8" i="38"/>
  <c r="E7" i="38"/>
  <c r="E6" i="38"/>
  <c r="E3" i="38"/>
  <c r="H21" i="37"/>
  <c r="H22" i="37" s="1"/>
  <c r="G21" i="37"/>
  <c r="G22" i="37" s="1"/>
  <c r="F21" i="37"/>
  <c r="F22" i="37" s="1"/>
  <c r="E121" i="36"/>
  <c r="E120" i="36"/>
  <c r="E119" i="36"/>
  <c r="E118" i="36"/>
  <c r="E117" i="36"/>
  <c r="E112" i="36"/>
  <c r="E111" i="36"/>
  <c r="E110" i="36"/>
  <c r="E99" i="36"/>
  <c r="E18" i="36"/>
  <c r="E17" i="36"/>
  <c r="E15" i="36"/>
  <c r="E14" i="36"/>
  <c r="E13" i="36"/>
  <c r="E12" i="36"/>
  <c r="E11" i="36"/>
  <c r="E10" i="36"/>
  <c r="E9" i="36"/>
  <c r="E8" i="36"/>
  <c r="E6" i="36"/>
  <c r="E5" i="36"/>
  <c r="E3" i="36"/>
  <c r="E113" i="35"/>
  <c r="E112" i="35"/>
  <c r="E111" i="35"/>
  <c r="E110" i="35"/>
  <c r="E109" i="35"/>
  <c r="F23" i="37" l="1"/>
  <c r="E102" i="35"/>
  <c r="E91" i="35"/>
  <c r="E18" i="35"/>
  <c r="E17" i="35"/>
  <c r="E15" i="35"/>
  <c r="E14" i="35"/>
  <c r="E13" i="35"/>
  <c r="E12" i="35"/>
  <c r="E11" i="35"/>
  <c r="E10" i="35"/>
  <c r="E9" i="35"/>
  <c r="E8" i="35"/>
  <c r="E104" i="35"/>
  <c r="E103" i="35"/>
  <c r="E6" i="35"/>
  <c r="E5" i="35"/>
  <c r="E3" i="35"/>
  <c r="E5" i="34" l="1"/>
  <c r="E4" i="34"/>
  <c r="E102" i="34"/>
  <c r="E29" i="34"/>
  <c r="E28" i="34"/>
  <c r="E26" i="34"/>
  <c r="E25" i="34"/>
  <c r="E24" i="34"/>
  <c r="E23" i="34"/>
  <c r="E22" i="34"/>
  <c r="E21" i="34"/>
  <c r="E20" i="34"/>
  <c r="E19" i="34"/>
  <c r="E18" i="34"/>
  <c r="E17" i="34"/>
  <c r="E15" i="34"/>
  <c r="E12" i="34"/>
  <c r="E9" i="34"/>
  <c r="E8" i="34"/>
  <c r="E7" i="34"/>
  <c r="E11" i="34"/>
  <c r="E3" i="34"/>
  <c r="G44" i="33"/>
  <c r="G43" i="33"/>
  <c r="G42" i="33"/>
  <c r="G41" i="33"/>
  <c r="G40" i="33"/>
  <c r="G39" i="33"/>
  <c r="G38" i="33"/>
  <c r="G37" i="33"/>
  <c r="G36" i="33"/>
  <c r="G35" i="33"/>
  <c r="G34" i="33"/>
  <c r="G33" i="33"/>
  <c r="G32" i="33"/>
  <c r="G31" i="33"/>
  <c r="G30" i="33"/>
  <c r="G29" i="33"/>
  <c r="G28" i="33"/>
  <c r="G27" i="33"/>
  <c r="G26" i="33"/>
  <c r="G25" i="33"/>
  <c r="G24" i="33"/>
  <c r="G23" i="33"/>
  <c r="G22" i="33"/>
  <c r="G21" i="33"/>
  <c r="G20" i="33"/>
  <c r="G19" i="33"/>
  <c r="G18" i="33"/>
  <c r="G17" i="33"/>
  <c r="G16" i="33"/>
  <c r="G15" i="33"/>
  <c r="G14" i="33"/>
  <c r="G13" i="33"/>
  <c r="G12" i="33"/>
  <c r="G11" i="33"/>
  <c r="G10" i="33"/>
  <c r="G9" i="33"/>
  <c r="G8" i="33"/>
  <c r="G7" i="33"/>
  <c r="G6" i="33"/>
  <c r="G5" i="33"/>
  <c r="G4" i="33"/>
  <c r="G3" i="33"/>
  <c r="E28" i="32" l="1"/>
  <c r="E27" i="32"/>
  <c r="E26" i="32"/>
  <c r="E25" i="32"/>
  <c r="E24" i="32"/>
  <c r="E23" i="32"/>
  <c r="E22" i="32"/>
  <c r="E21" i="32"/>
  <c r="E20" i="32"/>
  <c r="E19" i="32"/>
  <c r="E18" i="32"/>
  <c r="E17" i="32"/>
  <c r="E12" i="32"/>
  <c r="E11" i="32"/>
  <c r="E10" i="32"/>
  <c r="E9" i="32"/>
  <c r="E8" i="32"/>
  <c r="E7" i="32"/>
  <c r="E15" i="32"/>
  <c r="E14" i="32"/>
  <c r="E13" i="32"/>
  <c r="E5" i="32"/>
  <c r="E3" i="32"/>
  <c r="E90" i="32"/>
  <c r="L103" i="30"/>
  <c r="Q88" i="30"/>
  <c r="P88" i="30"/>
  <c r="H88" i="30"/>
  <c r="P32" i="30"/>
  <c r="O32" i="30"/>
  <c r="J32" i="30"/>
  <c r="H32" i="30"/>
  <c r="E32" i="30"/>
  <c r="J38" i="28"/>
  <c r="L114" i="29" l="1"/>
  <c r="S99" i="29"/>
  <c r="R99" i="29"/>
  <c r="Q99" i="29"/>
  <c r="P99" i="29"/>
  <c r="H99" i="29"/>
  <c r="P40" i="29"/>
  <c r="O40" i="29"/>
  <c r="J40" i="29"/>
  <c r="H40" i="29"/>
  <c r="E40" i="29"/>
  <c r="P86" i="28"/>
  <c r="H86" i="28"/>
  <c r="E38" i="28"/>
  <c r="H38" i="28"/>
  <c r="O38" i="28"/>
  <c r="P38" i="28"/>
  <c r="L101" i="28"/>
  <c r="S86" i="28"/>
  <c r="R86" i="28"/>
  <c r="Q86" i="28"/>
  <c r="K85" i="27"/>
  <c r="J85" i="27"/>
  <c r="L100" i="27" l="1"/>
  <c r="Q85" i="27"/>
  <c r="P85" i="27"/>
  <c r="O85" i="27"/>
  <c r="N85" i="27"/>
  <c r="M85" i="27"/>
  <c r="L85" i="27"/>
  <c r="P42" i="27"/>
  <c r="O42" i="27"/>
  <c r="L42" i="27"/>
  <c r="J42" i="27"/>
  <c r="G42" i="27"/>
  <c r="H6" i="26"/>
  <c r="F48" i="26" l="1"/>
  <c r="H5" i="26"/>
  <c r="H4" i="26"/>
  <c r="J94" i="25"/>
  <c r="O79" i="25"/>
  <c r="N79" i="25"/>
  <c r="M79" i="25"/>
  <c r="L79" i="25"/>
  <c r="K79" i="25"/>
  <c r="J79" i="25"/>
  <c r="I79" i="25"/>
  <c r="H79" i="25"/>
  <c r="N29" i="25"/>
  <c r="M29" i="25"/>
  <c r="J29" i="25"/>
  <c r="H29" i="25"/>
  <c r="G29" i="25"/>
  <c r="F21" i="26" l="1"/>
  <c r="F42" i="26"/>
  <c r="F20" i="26"/>
  <c r="F39" i="26"/>
  <c r="F38" i="26"/>
  <c r="F11" i="26"/>
  <c r="F31" i="26"/>
  <c r="F10" i="26"/>
  <c r="F30" i="26"/>
  <c r="F9" i="26"/>
  <c r="F49" i="26"/>
  <c r="F3" i="26"/>
  <c r="F46" i="26"/>
  <c r="F15" i="26"/>
  <c r="F37" i="26"/>
  <c r="F47" i="26"/>
  <c r="F18" i="26"/>
  <c r="F45" i="26"/>
  <c r="F19" i="26"/>
  <c r="F29" i="26"/>
  <c r="F8" i="26"/>
  <c r="F25" i="26"/>
  <c r="F35" i="26"/>
  <c r="F6" i="26"/>
  <c r="F43" i="26"/>
  <c r="F26" i="26"/>
  <c r="F36" i="26"/>
  <c r="F7" i="26"/>
  <c r="F17" i="26"/>
  <c r="F41" i="26"/>
  <c r="F2" i="26"/>
  <c r="F24" i="26"/>
  <c r="F16" i="26"/>
  <c r="F34" i="26"/>
  <c r="F52" i="26"/>
  <c r="F44" i="26"/>
  <c r="F13" i="26"/>
  <c r="F5" i="26"/>
  <c r="F23" i="26"/>
  <c r="F33" i="26"/>
  <c r="F51" i="26"/>
  <c r="F12" i="26"/>
  <c r="F4" i="26"/>
  <c r="F22" i="26"/>
  <c r="F28" i="26"/>
  <c r="F32" i="26"/>
  <c r="F50" i="26"/>
  <c r="N79" i="24"/>
  <c r="I79" i="24"/>
  <c r="H79" i="24"/>
  <c r="H29" i="24"/>
  <c r="J94" i="24"/>
  <c r="O79" i="24"/>
  <c r="M79" i="24"/>
  <c r="L79" i="24"/>
  <c r="K79" i="24"/>
  <c r="J79" i="24"/>
  <c r="N29" i="24"/>
  <c r="M29" i="24"/>
  <c r="J29" i="24"/>
  <c r="G29" i="24"/>
  <c r="J27" i="23"/>
  <c r="H27" i="23"/>
  <c r="K27" i="23"/>
  <c r="K15" i="23"/>
  <c r="I14" i="23"/>
  <c r="I6" i="23"/>
  <c r="I7" i="23"/>
  <c r="I8" i="23"/>
  <c r="I4" i="23"/>
  <c r="I27" i="23" s="1"/>
  <c r="G15" i="23"/>
  <c r="G16" i="23"/>
  <c r="G17" i="23"/>
  <c r="G18" i="23"/>
  <c r="G19" i="23"/>
  <c r="G20" i="23"/>
  <c r="G21" i="23"/>
  <c r="G14" i="23"/>
  <c r="G5" i="23"/>
  <c r="G6" i="23"/>
  <c r="G7" i="23"/>
  <c r="G8" i="23"/>
  <c r="G4" i="23"/>
  <c r="G27" i="23" s="1"/>
  <c r="I28" i="22"/>
  <c r="I27" i="22"/>
  <c r="I26" i="22"/>
  <c r="I25" i="22"/>
  <c r="I24" i="22"/>
  <c r="I23" i="22"/>
  <c r="I22" i="22"/>
  <c r="I21" i="22"/>
  <c r="I20" i="22"/>
  <c r="I19" i="22"/>
  <c r="I18" i="22"/>
  <c r="I17" i="22"/>
  <c r="I3" i="22"/>
  <c r="I4" i="22"/>
  <c r="I5" i="22"/>
  <c r="I6" i="22"/>
  <c r="I7" i="22"/>
  <c r="I8" i="22"/>
  <c r="I9" i="22"/>
  <c r="I10" i="22"/>
  <c r="I11" i="22"/>
  <c r="I12" i="22"/>
  <c r="I13" i="22"/>
  <c r="I2" i="22"/>
  <c r="F53" i="26" l="1"/>
  <c r="F27" i="26"/>
  <c r="F40" i="26"/>
  <c r="F14" i="26"/>
  <c r="J95" i="20"/>
  <c r="O80" i="20"/>
  <c r="N80" i="20"/>
  <c r="M80" i="20"/>
  <c r="L80" i="20"/>
  <c r="K80" i="20"/>
  <c r="J80" i="20"/>
  <c r="I80" i="20"/>
  <c r="H80" i="20"/>
  <c r="N29" i="20"/>
  <c r="M29" i="20"/>
  <c r="J29" i="20"/>
  <c r="H29" i="20"/>
  <c r="G29" i="20"/>
  <c r="N93" i="17"/>
  <c r="M93" i="17"/>
  <c r="L93" i="17"/>
  <c r="K93" i="17"/>
  <c r="J93" i="17"/>
  <c r="I93" i="17"/>
  <c r="H93" i="17"/>
  <c r="N51" i="17"/>
  <c r="M51" i="17"/>
  <c r="J51" i="17"/>
  <c r="H51" i="17"/>
  <c r="G51" i="17"/>
  <c r="J108" i="17"/>
  <c r="O93" i="17"/>
  <c r="F37" i="16"/>
  <c r="K35" i="16"/>
  <c r="J35" i="16"/>
  <c r="I35" i="16"/>
  <c r="H35" i="16"/>
  <c r="G35" i="16"/>
  <c r="F35" i="16"/>
  <c r="L34" i="16"/>
  <c r="D52" i="15"/>
  <c r="B54" i="15" s="1"/>
  <c r="F38" i="14"/>
  <c r="L35" i="14"/>
  <c r="K36" i="14"/>
  <c r="J36" i="14"/>
  <c r="G36" i="14"/>
  <c r="I36" i="14"/>
  <c r="H36" i="14"/>
  <c r="F36" i="14"/>
  <c r="F55" i="26" l="1"/>
  <c r="M18" i="13"/>
  <c r="N18" i="13" s="1"/>
  <c r="O18" i="13" s="1"/>
  <c r="M19" i="13"/>
  <c r="N19" i="13" s="1"/>
  <c r="O19" i="13" s="1"/>
  <c r="M20" i="13"/>
  <c r="N20" i="13" s="1"/>
  <c r="O20" i="13" s="1"/>
  <c r="M21" i="13"/>
  <c r="N21" i="13" s="1"/>
  <c r="O21" i="13" s="1"/>
  <c r="M22" i="13"/>
  <c r="N22" i="13" s="1"/>
  <c r="O22" i="13" s="1"/>
  <c r="D47" i="13"/>
  <c r="B49" i="13" s="1"/>
  <c r="E44" i="12" l="1"/>
  <c r="E45" i="12" s="1"/>
  <c r="E47" i="12" s="1"/>
  <c r="E52" i="12" l="1"/>
  <c r="H40" i="12"/>
  <c r="G39" i="12"/>
  <c r="H39" i="12" s="1"/>
  <c r="J37" i="12"/>
  <c r="I37" i="12"/>
  <c r="H37" i="12"/>
  <c r="G37" i="12"/>
  <c r="F37" i="12"/>
  <c r="E37" i="12"/>
  <c r="K37" i="12"/>
  <c r="J17" i="11" l="1"/>
  <c r="J18" i="11"/>
  <c r="J19" i="11"/>
  <c r="J20" i="11"/>
  <c r="J16" i="11"/>
  <c r="A46" i="11"/>
  <c r="B44" i="11"/>
  <c r="B29" i="11"/>
  <c r="D28" i="11"/>
  <c r="B31" i="8"/>
  <c r="B34" i="8"/>
  <c r="B33" i="8"/>
  <c r="B32" i="8"/>
  <c r="B37" i="8" s="1"/>
  <c r="D24" i="3"/>
  <c r="D24" i="1"/>
  <c r="D25" i="1"/>
  <c r="P92" i="17" l="1"/>
  <c r="D28" i="1"/>
</calcChain>
</file>

<file path=xl/sharedStrings.xml><?xml version="1.0" encoding="utf-8"?>
<sst xmlns="http://schemas.openxmlformats.org/spreadsheetml/2006/main" count="3272" uniqueCount="599">
  <si>
    <t>프디</t>
  </si>
  <si>
    <t>벙커힐</t>
  </si>
  <si>
    <t>살롱바네프</t>
  </si>
  <si>
    <t xml:space="preserve">히도 </t>
  </si>
  <si>
    <t>히도오동도</t>
  </si>
  <si>
    <t>모디슨</t>
  </si>
  <si>
    <t>모바이오</t>
  </si>
  <si>
    <t>약손명가</t>
  </si>
  <si>
    <t>EOC</t>
  </si>
  <si>
    <t>메종드</t>
  </si>
  <si>
    <t>후탄</t>
    <phoneticPr fontId="1" type="noConversion"/>
  </si>
  <si>
    <t>저</t>
    <phoneticPr fontId="1" type="noConversion"/>
  </si>
  <si>
    <t>호</t>
    <phoneticPr fontId="1" type="noConversion"/>
  </si>
  <si>
    <t>튜</t>
    <phoneticPr fontId="1" type="noConversion"/>
  </si>
  <si>
    <t>히도</t>
    <phoneticPr fontId="1" type="noConversion"/>
  </si>
  <si>
    <t>히도 오동동</t>
    <phoneticPr fontId="1" type="noConversion"/>
  </si>
  <si>
    <t>목표명가</t>
    <phoneticPr fontId="1" type="noConversion"/>
  </si>
  <si>
    <t>https://map.naver.com/p/entry/place/320182579</t>
  </si>
  <si>
    <t>자비암</t>
    <phoneticPr fontId="1" type="noConversion"/>
  </si>
  <si>
    <t>카맵</t>
    <phoneticPr fontId="1" type="noConversion"/>
  </si>
  <si>
    <t>스타시티</t>
    <phoneticPr fontId="1" type="noConversion"/>
  </si>
  <si>
    <t>비빔상회</t>
    <phoneticPr fontId="1" type="noConversion"/>
  </si>
  <si>
    <t>마츠도</t>
    <phoneticPr fontId="1" type="noConversion"/>
  </si>
  <si>
    <t>리뷰</t>
    <phoneticPr fontId="1" type="noConversion"/>
  </si>
  <si>
    <t>3*7</t>
    <phoneticPr fontId="1" type="noConversion"/>
  </si>
  <si>
    <t>블로그</t>
    <phoneticPr fontId="1" type="noConversion"/>
  </si>
  <si>
    <t>홈런볼</t>
    <phoneticPr fontId="1" type="noConversion"/>
  </si>
  <si>
    <t>부천남부</t>
    <phoneticPr fontId="1" type="noConversion"/>
  </si>
  <si>
    <t>역곡</t>
    <phoneticPr fontId="1" type="noConversion"/>
  </si>
  <si>
    <t>구래동</t>
    <phoneticPr fontId="1" type="noConversion"/>
  </si>
  <si>
    <t>신중동</t>
    <phoneticPr fontId="1" type="noConversion"/>
  </si>
  <si>
    <t>리을리을</t>
    <phoneticPr fontId="1" type="noConversion"/>
  </si>
  <si>
    <t>비즈</t>
    <phoneticPr fontId="1" type="noConversion"/>
  </si>
  <si>
    <t>마르케</t>
    <phoneticPr fontId="1" type="noConversion"/>
  </si>
  <si>
    <t>오월의 꽃수</t>
    <phoneticPr fontId="1" type="noConversion"/>
  </si>
  <si>
    <t>93네일</t>
    <phoneticPr fontId="1" type="noConversion"/>
  </si>
  <si>
    <t>구명애포항물회</t>
    <phoneticPr fontId="1" type="noConversion"/>
  </si>
  <si>
    <t>홍대 한월</t>
    <phoneticPr fontId="1" type="noConversion"/>
  </si>
  <si>
    <t>성공식당</t>
    <phoneticPr fontId="1" type="noConversion"/>
  </si>
  <si>
    <t>거복이 대학로</t>
    <phoneticPr fontId="1" type="noConversion"/>
  </si>
  <si>
    <t>벙커힐</t>
    <phoneticPr fontId="1" type="noConversion"/>
  </si>
  <si>
    <t>고반식당</t>
    <phoneticPr fontId="1" type="noConversion"/>
  </si>
  <si>
    <t>트</t>
    <phoneticPr fontId="1" type="noConversion"/>
  </si>
  <si>
    <t>길</t>
    <phoneticPr fontId="1" type="noConversion"/>
  </si>
  <si>
    <t>?</t>
    <phoneticPr fontId="1" type="noConversion"/>
  </si>
  <si>
    <t>블</t>
    <phoneticPr fontId="1" type="noConversion"/>
  </si>
  <si>
    <t>뻥쟁이네</t>
    <phoneticPr fontId="1" type="noConversion"/>
  </si>
  <si>
    <t>거복이 회기</t>
    <phoneticPr fontId="1" type="noConversion"/>
  </si>
  <si>
    <t>니뽕내뽕</t>
    <phoneticPr fontId="1" type="noConversion"/>
  </si>
  <si>
    <t>무당벌레</t>
    <phoneticPr fontId="1" type="noConversion"/>
  </si>
  <si>
    <t>5건 *10일</t>
    <phoneticPr fontId="1" type="noConversion"/>
  </si>
  <si>
    <t>ㅇ</t>
    <phoneticPr fontId="1" type="noConversion"/>
  </si>
  <si>
    <t>5*10</t>
    <phoneticPr fontId="1" type="noConversion"/>
  </si>
  <si>
    <t>비실</t>
    <phoneticPr fontId="1" type="noConversion"/>
  </si>
  <si>
    <t>실블</t>
    <phoneticPr fontId="1" type="noConversion"/>
  </si>
  <si>
    <t>인정카츠</t>
    <phoneticPr fontId="1" type="noConversion"/>
  </si>
  <si>
    <t>아사도</t>
    <phoneticPr fontId="1" type="noConversion"/>
  </si>
  <si>
    <t>하와이안</t>
    <phoneticPr fontId="1" type="noConversion"/>
  </si>
  <si>
    <t>히도 본점</t>
    <phoneticPr fontId="1" type="noConversion"/>
  </si>
  <si>
    <t>히도 합포</t>
    <phoneticPr fontId="1" type="noConversion"/>
  </si>
  <si>
    <t>튜플</t>
    <phoneticPr fontId="1" type="noConversion"/>
  </si>
  <si>
    <t>블로그 5*10</t>
    <phoneticPr fontId="1" type="noConversion"/>
  </si>
  <si>
    <t>5*14</t>
    <phoneticPr fontId="1" type="noConversion"/>
  </si>
  <si>
    <t>스포애니 신중동</t>
    <phoneticPr fontId="1" type="noConversion"/>
  </si>
  <si>
    <t>스포애니 상동점</t>
    <phoneticPr fontId="1" type="noConversion"/>
  </si>
  <si>
    <t>7*10</t>
    <phoneticPr fontId="1" type="noConversion"/>
  </si>
  <si>
    <t>https://m.place.naver.com/place/36314848/home?entry=pll</t>
  </si>
  <si>
    <t>https://m.place.naver.com/place/37870631/home</t>
  </si>
  <si>
    <t>yt</t>
    <phoneticPr fontId="1" type="noConversion"/>
  </si>
  <si>
    <t>스포애니</t>
    <phoneticPr fontId="1" type="noConversion"/>
  </si>
  <si>
    <t xml:space="preserve">아사도 </t>
    <phoneticPr fontId="1" type="noConversion"/>
  </si>
  <si>
    <t>길찾기</t>
    <phoneticPr fontId="1" type="noConversion"/>
  </si>
  <si>
    <t>투플</t>
    <phoneticPr fontId="1" type="noConversion"/>
  </si>
  <si>
    <t>하노이별</t>
    <phoneticPr fontId="1" type="noConversion"/>
  </si>
  <si>
    <t>투플프로</t>
    <phoneticPr fontId="1" type="noConversion"/>
  </si>
  <si>
    <t>호올스</t>
    <phoneticPr fontId="1" type="noConversion"/>
  </si>
  <si>
    <t>5*14</t>
    <phoneticPr fontId="1" type="noConversion"/>
  </si>
  <si>
    <t>스포애니 신중동</t>
    <phoneticPr fontId="1" type="noConversion"/>
  </si>
  <si>
    <t>스포애니 봉천동점</t>
    <phoneticPr fontId="1" type="noConversion"/>
  </si>
  <si>
    <t>화정</t>
    <phoneticPr fontId="1" type="noConversion"/>
  </si>
  <si>
    <t>5*14(7서비스)</t>
    <phoneticPr fontId="1" type="noConversion"/>
  </si>
  <si>
    <t>스포애니 영수증요청 및 정리</t>
    <phoneticPr fontId="1" type="noConversion"/>
  </si>
  <si>
    <t xml:space="preserve">마르케 </t>
    <phoneticPr fontId="1" type="noConversion"/>
  </si>
  <si>
    <t>애드파인</t>
    <phoneticPr fontId="1" type="noConversion"/>
  </si>
  <si>
    <t>호올스</t>
    <phoneticPr fontId="1" type="noConversion"/>
  </si>
  <si>
    <t>기타</t>
    <phoneticPr fontId="1" type="noConversion"/>
  </si>
  <si>
    <t>블로그</t>
    <phoneticPr fontId="1" type="noConversion"/>
  </si>
  <si>
    <t>계산서</t>
    <phoneticPr fontId="1" type="noConversion"/>
  </si>
  <si>
    <t>미계산</t>
    <phoneticPr fontId="1" type="noConversion"/>
  </si>
  <si>
    <t>홈런볼</t>
    <phoneticPr fontId="1" type="noConversion"/>
  </si>
  <si>
    <t>말차</t>
    <phoneticPr fontId="1" type="noConversion"/>
  </si>
  <si>
    <t>이정찬</t>
    <phoneticPr fontId="1" type="noConversion"/>
  </si>
  <si>
    <t>5*30</t>
    <phoneticPr fontId="1" type="noConversion"/>
  </si>
  <si>
    <t>5*15</t>
    <phoneticPr fontId="1" type="noConversion"/>
  </si>
  <si>
    <t>하지네일</t>
    <phoneticPr fontId="1" type="noConversion"/>
  </si>
  <si>
    <t>3*10</t>
    <phoneticPr fontId="1" type="noConversion"/>
  </si>
  <si>
    <t>고성카라반</t>
    <phoneticPr fontId="1" type="noConversion"/>
  </si>
  <si>
    <t>권용언(애드윈)</t>
    <phoneticPr fontId="1" type="noConversion"/>
  </si>
  <si>
    <t>이쁘다헤어 서면</t>
    <phoneticPr fontId="1" type="noConversion"/>
  </si>
  <si>
    <t>해운대</t>
    <phoneticPr fontId="1" type="noConversion"/>
  </si>
  <si>
    <t>사직</t>
    <phoneticPr fontId="1" type="noConversion"/>
  </si>
  <si>
    <t>동성로</t>
    <phoneticPr fontId="1" type="noConversion"/>
  </si>
  <si>
    <t>연산점</t>
    <phoneticPr fontId="1" type="noConversion"/>
  </si>
  <si>
    <t>퍼플</t>
    <phoneticPr fontId="1" type="noConversion"/>
  </si>
  <si>
    <t>겟픽</t>
    <phoneticPr fontId="1" type="noConversion"/>
  </si>
  <si>
    <t>애드</t>
    <phoneticPr fontId="1" type="noConversion"/>
  </si>
  <si>
    <t>https://m.place.naver.com/hairshop/1886277668/home</t>
  </si>
  <si>
    <t>https://m.place.naver.com/hairshop/1258228694/home</t>
  </si>
  <si>
    <t>https://m.place.naver.com/hairshop/1022013892/home</t>
  </si>
  <si>
    <t>https://m.place.naver.com/hairshop/1287821286/home</t>
  </si>
  <si>
    <t>https://m.place.naver.com/hairshop/1421207239/home</t>
  </si>
  <si>
    <t>5*14</t>
    <phoneticPr fontId="1" type="noConversion"/>
  </si>
  <si>
    <t>일반길찾기</t>
    <phoneticPr fontId="1" type="noConversion"/>
  </si>
  <si>
    <t>말차길차직</t>
    <phoneticPr fontId="1" type="noConversion"/>
  </si>
  <si>
    <t>말차유입</t>
    <phoneticPr fontId="1" type="noConversion"/>
  </si>
  <si>
    <t>리리움</t>
    <phoneticPr fontId="1" type="noConversion"/>
  </si>
  <si>
    <t>겟</t>
    <phoneticPr fontId="1" type="noConversion"/>
  </si>
  <si>
    <t>5*7</t>
    <phoneticPr fontId="1" type="noConversion"/>
  </si>
  <si>
    <t>10*7</t>
    <phoneticPr fontId="1" type="noConversion"/>
  </si>
  <si>
    <t>스포 봉천</t>
    <phoneticPr fontId="1" type="noConversion"/>
  </si>
  <si>
    <t>스포 신중동</t>
    <phoneticPr fontId="1" type="noConversion"/>
  </si>
  <si>
    <t>말차길찾기</t>
    <phoneticPr fontId="1" type="noConversion"/>
  </si>
  <si>
    <t>15*10</t>
    <phoneticPr fontId="1" type="noConversion"/>
  </si>
  <si>
    <t>10*7</t>
    <phoneticPr fontId="1" type="noConversion"/>
  </si>
  <si>
    <t>스포 상동</t>
    <phoneticPr fontId="1" type="noConversion"/>
  </si>
  <si>
    <t>170 돈까스</t>
    <phoneticPr fontId="1" type="noConversion"/>
  </si>
  <si>
    <t>약손명가</t>
    <phoneticPr fontId="1" type="noConversion"/>
  </si>
  <si>
    <t>100/14</t>
    <phoneticPr fontId="1" type="noConversion"/>
  </si>
  <si>
    <t>무계</t>
    <phoneticPr fontId="1" type="noConversion"/>
  </si>
  <si>
    <t>5*7</t>
    <phoneticPr fontId="1" type="noConversion"/>
  </si>
  <si>
    <t>무당벌레</t>
    <phoneticPr fontId="1" type="noConversion"/>
  </si>
  <si>
    <t>퍼플여수</t>
    <phoneticPr fontId="1" type="noConversion"/>
  </si>
  <si>
    <t>루컴퍼니</t>
    <phoneticPr fontId="1" type="noConversion"/>
  </si>
  <si>
    <t>더리윤</t>
    <phoneticPr fontId="1" type="noConversion"/>
  </si>
  <si>
    <t>계산서 입</t>
    <phoneticPr fontId="1" type="noConversion"/>
  </si>
  <si>
    <t>비계</t>
    <phoneticPr fontId="1" type="noConversion"/>
  </si>
  <si>
    <t>스포애니</t>
    <phoneticPr fontId="1" type="noConversion"/>
  </si>
  <si>
    <t xml:space="preserve"> </t>
    <phoneticPr fontId="1" type="noConversion"/>
  </si>
  <si>
    <t>니뽕내뽕 천안</t>
    <phoneticPr fontId="1" type="noConversion"/>
  </si>
  <si>
    <t>SEO</t>
    <phoneticPr fontId="1" type="noConversion"/>
  </si>
  <si>
    <t>시나브로 현풍점</t>
    <phoneticPr fontId="1" type="noConversion"/>
  </si>
  <si>
    <t>시나브로 신암점</t>
    <phoneticPr fontId="1" type="noConversion"/>
  </si>
  <si>
    <t>https://m.place.naver.com/place/1363035853</t>
  </si>
  <si>
    <t>https://m.place.naver.com/place/1733919600</t>
  </si>
  <si>
    <t>말차유</t>
    <phoneticPr fontId="1" type="noConversion"/>
  </si>
  <si>
    <t>말차길</t>
    <phoneticPr fontId="1" type="noConversion"/>
  </si>
  <si>
    <t>바네프</t>
    <phoneticPr fontId="1" type="noConversion"/>
  </si>
  <si>
    <t>겟1</t>
    <phoneticPr fontId="1" type="noConversion"/>
  </si>
  <si>
    <t>겟2</t>
    <phoneticPr fontId="1" type="noConversion"/>
  </si>
  <si>
    <t>타이거</t>
    <phoneticPr fontId="1" type="noConversion"/>
  </si>
  <si>
    <t>바라크</t>
    <phoneticPr fontId="1" type="noConversion"/>
  </si>
  <si>
    <t>바로크</t>
    <phoneticPr fontId="1" type="noConversion"/>
  </si>
  <si>
    <t>마</t>
    <phoneticPr fontId="1" type="noConversion"/>
  </si>
  <si>
    <t>다람</t>
    <phoneticPr fontId="1" type="noConversion"/>
  </si>
  <si>
    <t>3*15</t>
    <phoneticPr fontId="1" type="noConversion"/>
  </si>
  <si>
    <t>10*15</t>
    <phoneticPr fontId="1" type="noConversion"/>
  </si>
  <si>
    <t>홈런볼/길찾</t>
    <phoneticPr fontId="1" type="noConversion"/>
  </si>
  <si>
    <t>14*5</t>
    <phoneticPr fontId="1" type="noConversion"/>
  </si>
  <si>
    <t>미완</t>
    <phoneticPr fontId="1" type="noConversion"/>
  </si>
  <si>
    <t>입금확인</t>
    <phoneticPr fontId="1" type="noConversion"/>
  </si>
  <si>
    <t>수원샤브토랑</t>
    <phoneticPr fontId="1" type="noConversion"/>
  </si>
  <si>
    <t>봉자막창</t>
    <phoneticPr fontId="1" type="noConversion"/>
  </si>
  <si>
    <t>이쁘다 해운대</t>
    <phoneticPr fontId="1" type="noConversion"/>
  </si>
  <si>
    <t>이쁘다 동성로</t>
    <phoneticPr fontId="1" type="noConversion"/>
  </si>
  <si>
    <t>이쁘다 다사점</t>
    <phoneticPr fontId="1" type="noConversion"/>
  </si>
  <si>
    <t>푼주</t>
    <phoneticPr fontId="1" type="noConversion"/>
  </si>
  <si>
    <t>하일로</t>
    <phoneticPr fontId="1" type="noConversion"/>
  </si>
  <si>
    <t>https://m.place.naver.com/place/37207000/home</t>
  </si>
  <si>
    <t>제주간판</t>
    <phoneticPr fontId="1" type="noConversion"/>
  </si>
  <si>
    <t>영수증</t>
    <phoneticPr fontId="1" type="noConversion"/>
  </si>
  <si>
    <t>3*14</t>
    <phoneticPr fontId="1" type="noConversion"/>
  </si>
  <si>
    <t>메종드 스타시티</t>
    <phoneticPr fontId="1" type="noConversion"/>
  </si>
  <si>
    <t>애드윈</t>
    <phoneticPr fontId="1" type="noConversion"/>
  </si>
  <si>
    <t>램플러스</t>
    <phoneticPr fontId="1" type="noConversion"/>
  </si>
  <si>
    <t>카톡참고</t>
    <phoneticPr fontId="1" type="noConversion"/>
  </si>
  <si>
    <t>후탄</t>
  </si>
  <si>
    <t>히도 본점</t>
  </si>
  <si>
    <t>히도 합포</t>
  </si>
  <si>
    <t>메종드 스타시티</t>
  </si>
  <si>
    <t>자비암</t>
  </si>
  <si>
    <t>이쁘다헤어 서면</t>
  </si>
  <si>
    <t>수원샤브토랑</t>
  </si>
  <si>
    <t>봉자막창</t>
  </si>
  <si>
    <t>바네프</t>
  </si>
  <si>
    <t>푼주</t>
  </si>
  <si>
    <t>하일로</t>
  </si>
  <si>
    <t>화정</t>
  </si>
  <si>
    <t>고성카라반</t>
  </si>
  <si>
    <t>인정카츠</t>
  </si>
  <si>
    <t>247</t>
  </si>
  <si>
    <t>베이직</t>
    <phoneticPr fontId="1" type="noConversion"/>
  </si>
  <si>
    <t>이쁘다헤어</t>
    <phoneticPr fontId="1" type="noConversion"/>
  </si>
  <si>
    <t>자체 관리</t>
    <phoneticPr fontId="1" type="noConversion"/>
  </si>
  <si>
    <t>비즈하이</t>
    <phoneticPr fontId="1" type="noConversion"/>
  </si>
  <si>
    <t>퍼플페어</t>
    <phoneticPr fontId="1" type="noConversion"/>
  </si>
  <si>
    <t>영수증(퍼플)</t>
    <phoneticPr fontId="1" type="noConversion"/>
  </si>
  <si>
    <t>영수증(애드)</t>
    <phoneticPr fontId="1" type="noConversion"/>
  </si>
  <si>
    <t>영수증(불곰)</t>
    <phoneticPr fontId="1" type="noConversion"/>
  </si>
  <si>
    <t>매장명</t>
    <phoneticPr fontId="1" type="noConversion"/>
  </si>
  <si>
    <t>비고</t>
    <phoneticPr fontId="1" type="noConversion"/>
  </si>
  <si>
    <t>접수일</t>
    <phoneticPr fontId="1" type="noConversion"/>
  </si>
  <si>
    <t>스포애니</t>
  </si>
  <si>
    <t>이쁘다헤어 해운대점</t>
  </si>
  <si>
    <t>이쁘다헤어 해운대점</t>
    <phoneticPr fontId="1" type="noConversion"/>
  </si>
  <si>
    <t>이쁘다헤어 수영점</t>
  </si>
  <si>
    <t>이쁘다헤어 수영점</t>
    <phoneticPr fontId="1" type="noConversion"/>
  </si>
  <si>
    <t>이쁘다헤어 다사점</t>
  </si>
  <si>
    <t>이쁘다헤어 다사점</t>
    <phoneticPr fontId="1" type="noConversion"/>
  </si>
  <si>
    <t>이쁘다헤어 동성로점</t>
  </si>
  <si>
    <t>이쁘다헤어 동성로점</t>
    <phoneticPr fontId="1" type="noConversion"/>
  </si>
  <si>
    <t>퍼스트헤어 동성로점</t>
  </si>
  <si>
    <t>퍼스트헤어 동성로점</t>
    <phoneticPr fontId="1" type="noConversion"/>
  </si>
  <si>
    <t>크레덴스</t>
    <phoneticPr fontId="1" type="noConversion"/>
  </si>
  <si>
    <t>도안안경 / 연장</t>
    <phoneticPr fontId="1" type="noConversion"/>
  </si>
  <si>
    <t>2025.10.31</t>
  </si>
  <si>
    <t>모집중</t>
  </si>
  <si>
    <t>*사진액자필수* 목포명가 과천점_001</t>
  </si>
  <si>
    <t>new *사진액자필수* 선희네 횟집_002</t>
  </si>
  <si>
    <t>2025.11.01</t>
  </si>
  <si>
    <t>new *사진액자필수* 옥된장_군산조촌점_001</t>
  </si>
  <si>
    <t>new *사진액자필수* 목포명가_강남역점</t>
  </si>
  <si>
    <t>모집마감</t>
  </si>
  <si>
    <t>상태</t>
  </si>
  <si>
    <t>광고명</t>
  </si>
  <si>
    <t>홍보</t>
  </si>
  <si>
    <t>전체</t>
  </si>
  <si>
    <t>모집</t>
  </si>
  <si>
    <t>승인</t>
  </si>
  <si>
    <t>진행중</t>
  </si>
  <si>
    <t>답십리점</t>
  </si>
  <si>
    <t>답십리점</t>
    <phoneticPr fontId="1" type="noConversion"/>
  </si>
  <si>
    <t>응암역점</t>
  </si>
  <si>
    <t>응암역점</t>
    <phoneticPr fontId="1" type="noConversion"/>
  </si>
  <si>
    <t>상계역점</t>
  </si>
  <si>
    <t>상계역점</t>
    <phoneticPr fontId="1" type="noConversion"/>
  </si>
  <si>
    <t>길동역점</t>
  </si>
  <si>
    <t>길동역점</t>
    <phoneticPr fontId="1" type="noConversion"/>
  </si>
  <si>
    <t>역삼역점</t>
  </si>
  <si>
    <t>역삼역점</t>
    <phoneticPr fontId="1" type="noConversion"/>
  </si>
  <si>
    <t>논현역점</t>
  </si>
  <si>
    <t>논현역점</t>
    <phoneticPr fontId="1" type="noConversion"/>
  </si>
  <si>
    <t>화곡역점</t>
  </si>
  <si>
    <t>화곡역점</t>
    <phoneticPr fontId="1" type="noConversion"/>
  </si>
  <si>
    <t>구로디지털점</t>
  </si>
  <si>
    <t>구로디지털점</t>
    <phoneticPr fontId="1" type="noConversion"/>
  </si>
  <si>
    <t>서울대입구점</t>
  </si>
  <si>
    <t>서울대입구점</t>
    <phoneticPr fontId="1" type="noConversion"/>
  </si>
  <si>
    <t>야탑역점</t>
  </si>
  <si>
    <t>야탑역점</t>
    <phoneticPr fontId="1" type="noConversion"/>
  </si>
  <si>
    <t>부천시청점</t>
  </si>
  <si>
    <t>부천시청점</t>
    <phoneticPr fontId="1" type="noConversion"/>
  </si>
  <si>
    <t>구리역점</t>
  </si>
  <si>
    <t>구리역점</t>
    <phoneticPr fontId="1" type="noConversion"/>
  </si>
  <si>
    <t>초이스테판</t>
    <phoneticPr fontId="1" type="noConversion"/>
  </si>
  <si>
    <t>https://m.place.naver.com/place/1994080073/home</t>
  </si>
  <si>
    <t>https://m.place.naver.com/place/1884514899/home</t>
  </si>
  <si>
    <t>https://m.place.naver.com/place/1282482674/home</t>
  </si>
  <si>
    <t>https://m.place.naver.com/place/960874888/home</t>
  </si>
  <si>
    <t>https://m.place.naver.com/place/1280284535/home</t>
  </si>
  <si>
    <t>https://m.place.naver.com/place/1588177165/home</t>
  </si>
  <si>
    <t>https://m.place.naver.com/place/1516336456/home</t>
  </si>
  <si>
    <t>https://m.place.naver.com/place/1954381745/home</t>
  </si>
  <si>
    <t>https://m.place.naver.com/place/1258228694/home</t>
  </si>
  <si>
    <t>https://m.place.naver.com/place/1499577742/home</t>
  </si>
  <si>
    <t>https://m.place.naver.com/place/1881917537/home</t>
  </si>
  <si>
    <t>https://m.place.naver.com/place/1287821286/home</t>
  </si>
  <si>
    <t>구분</t>
  </si>
  <si>
    <t>지점명</t>
  </si>
  <si>
    <t>네이버 플레이스 MID</t>
  </si>
  <si>
    <t>네이버 플레이스 모바일 주소</t>
  </si>
  <si>
    <t>미용실</t>
  </si>
  <si>
    <t>https://m.place.naver.com/place/1115298912/home</t>
  </si>
  <si>
    <t>타겟 키워드</t>
  </si>
  <si>
    <t>일일 배포 숫자</t>
  </si>
  <si>
    <r>
      <t>서면 미용실</t>
    </r>
    <r>
      <rPr>
        <sz val="10"/>
        <color theme="1"/>
        <rFont val="맑은 고딕"/>
        <family val="2"/>
        <charset val="129"/>
        <scheme val="minor"/>
      </rPr>
      <t>, 서면역 미용실, 부산 서면 펌</t>
    </r>
  </si>
  <si>
    <r>
      <t>해운대 미용실</t>
    </r>
    <r>
      <rPr>
        <sz val="10"/>
        <color theme="1"/>
        <rFont val="맑은 고딕"/>
        <family val="2"/>
        <charset val="129"/>
        <scheme val="minor"/>
      </rPr>
      <t>, 해운대 펌, 해운대 염색</t>
    </r>
  </si>
  <si>
    <r>
      <t>수영 미용실</t>
    </r>
    <r>
      <rPr>
        <sz val="10"/>
        <color theme="1"/>
        <rFont val="맑은 고딕"/>
        <family val="2"/>
        <charset val="129"/>
        <scheme val="minor"/>
      </rPr>
      <t>, 수영역 미용실, 광안리 미용실</t>
    </r>
  </si>
  <si>
    <r>
      <t>다사 미용실</t>
    </r>
    <r>
      <rPr>
        <sz val="10"/>
        <color theme="1"/>
        <rFont val="맑은 고딕"/>
        <family val="2"/>
        <charset val="129"/>
        <scheme val="minor"/>
      </rPr>
      <t>, 대실역 미용실, 대구 다사 펌</t>
    </r>
  </si>
  <si>
    <r>
      <t>동성로 미용실</t>
    </r>
    <r>
      <rPr>
        <sz val="10"/>
        <color theme="1"/>
        <rFont val="맑은 고딕"/>
        <family val="2"/>
        <charset val="129"/>
        <scheme val="minor"/>
      </rPr>
      <t>, 동성로 펌, 허쉬컷, 슬릭펌</t>
    </r>
  </si>
  <si>
    <r>
      <t>동성로 미용실</t>
    </r>
    <r>
      <rPr>
        <sz val="10"/>
        <color theme="1"/>
        <rFont val="맑은 고딕"/>
        <family val="2"/>
        <charset val="129"/>
        <scheme val="minor"/>
      </rPr>
      <t>, 동성로 남자머리, 동성로 펌</t>
    </r>
  </si>
  <si>
    <r>
      <t>답십리 헬스장</t>
    </r>
    <r>
      <rPr>
        <sz val="10"/>
        <color theme="1"/>
        <rFont val="맑은 고딕"/>
        <family val="2"/>
        <charset val="129"/>
        <scheme val="minor"/>
      </rPr>
      <t>, 답십리 필라테스, 답십리 PT</t>
    </r>
  </si>
  <si>
    <r>
      <t>응암역 헬스장</t>
    </r>
    <r>
      <rPr>
        <sz val="10"/>
        <color theme="1"/>
        <rFont val="맑은 고딕"/>
        <family val="2"/>
        <charset val="129"/>
        <scheme val="minor"/>
      </rPr>
      <t>, 응암 PT, 은평구 헬스</t>
    </r>
  </si>
  <si>
    <r>
      <t>상계역 헬스장</t>
    </r>
    <r>
      <rPr>
        <sz val="10"/>
        <color theme="1"/>
        <rFont val="맑은 고딕"/>
        <family val="2"/>
        <charset val="129"/>
        <scheme val="minor"/>
      </rPr>
      <t>, 상계동 PT, 노원 헬스</t>
    </r>
  </si>
  <si>
    <r>
      <t>길동역 헬스장</t>
    </r>
    <r>
      <rPr>
        <sz val="10"/>
        <color theme="1"/>
        <rFont val="맑은 고딕"/>
        <family val="2"/>
        <charset val="129"/>
        <scheme val="minor"/>
      </rPr>
      <t>, 길동 PT, 강동구 헬스</t>
    </r>
  </si>
  <si>
    <r>
      <t>역삼역 헬스장</t>
    </r>
    <r>
      <rPr>
        <sz val="10"/>
        <color theme="1"/>
        <rFont val="맑은 고딕"/>
        <family val="2"/>
        <charset val="129"/>
        <scheme val="minor"/>
      </rPr>
      <t>, 역삼 PT, 강남 24시 헬스</t>
    </r>
  </si>
  <si>
    <r>
      <t>논현역 헬스장</t>
    </r>
    <r>
      <rPr>
        <sz val="10"/>
        <color theme="1"/>
        <rFont val="맑은 고딕"/>
        <family val="2"/>
        <charset val="129"/>
        <scheme val="minor"/>
      </rPr>
      <t>, 논현 PT, 신논현 헬스</t>
    </r>
  </si>
  <si>
    <r>
      <t>화곡역 헬스장</t>
    </r>
    <r>
      <rPr>
        <sz val="10"/>
        <color theme="1"/>
        <rFont val="맑은 고딕"/>
        <family val="2"/>
        <charset val="129"/>
        <scheme val="minor"/>
      </rPr>
      <t>, 화곡 PT, 강서구 헬스</t>
    </r>
  </si>
  <si>
    <r>
      <t>구디 헬스장</t>
    </r>
    <r>
      <rPr>
        <sz val="10"/>
        <color theme="1"/>
        <rFont val="맑은 고딕"/>
        <family val="2"/>
        <charset val="129"/>
        <scheme val="minor"/>
      </rPr>
      <t>, 구로디지털단지 PT, G밸리 헬스</t>
    </r>
  </si>
  <si>
    <r>
      <t>서울대입구 헬스장</t>
    </r>
    <r>
      <rPr>
        <sz val="10"/>
        <color theme="1"/>
        <rFont val="맑은 고딕"/>
        <family val="2"/>
        <charset val="129"/>
        <scheme val="minor"/>
      </rPr>
      <t>, 샤로수길 PT, 봉천동 헬스</t>
    </r>
  </si>
  <si>
    <r>
      <t>야탑역 헬스장</t>
    </r>
    <r>
      <rPr>
        <sz val="10"/>
        <color theme="1"/>
        <rFont val="맑은 고딕"/>
        <family val="2"/>
        <charset val="129"/>
        <scheme val="minor"/>
      </rPr>
      <t>, 야탑 PT, 분당 헬스</t>
    </r>
  </si>
  <si>
    <r>
      <t>부천시청역 헬스장</t>
    </r>
    <r>
      <rPr>
        <sz val="10"/>
        <color theme="1"/>
        <rFont val="맑은 고딕"/>
        <family val="2"/>
        <charset val="129"/>
        <scheme val="minor"/>
      </rPr>
      <t>, 부천 PT, 중동 헬스</t>
    </r>
  </si>
  <si>
    <r>
      <t>구리역 헬스장</t>
    </r>
    <r>
      <rPr>
        <sz val="10"/>
        <color theme="1"/>
        <rFont val="맑은 고딕"/>
        <family val="2"/>
        <charset val="129"/>
        <scheme val="minor"/>
      </rPr>
      <t>, 구리 PT, 구리시 헬스</t>
    </r>
  </si>
  <si>
    <t>https://m.place.naver.com/place/34355121/home</t>
    <phoneticPr fontId="1" type="noConversion"/>
  </si>
  <si>
    <t>https://m.place.naver.com/place/21888953/home?entry=pll</t>
    <phoneticPr fontId="1" type="noConversion"/>
  </si>
  <si>
    <t>https://m.place.naver.com/place/34168794/home?entry=pll</t>
    <phoneticPr fontId="1" type="noConversion"/>
  </si>
  <si>
    <t>https://m.place.naver.com/hairshop/1642603227/home?entry=plt</t>
  </si>
  <si>
    <t>https://m.place.naver.com/place/1022013892/home</t>
    <phoneticPr fontId="1" type="noConversion"/>
  </si>
  <si>
    <t>4일</t>
    <phoneticPr fontId="1" type="noConversion"/>
  </si>
  <si>
    <t>https://m.place.naver.com/hairshop/1737548149/hom</t>
  </si>
  <si>
    <t>텐케이</t>
    <phoneticPr fontId="1" type="noConversion"/>
  </si>
  <si>
    <t>열1</t>
  </si>
  <si>
    <t>2025.10.19</t>
  </si>
  <si>
    <t>*사진액자필수*목포명가_판교점_001</t>
  </si>
  <si>
    <t>*사진액자필수*목포명가 봉은사역점_002</t>
  </si>
  <si>
    <t>*사진액자필수*목포명가_율현본점_002</t>
  </si>
  <si>
    <t>2025.10.14</t>
  </si>
  <si>
    <t>*사진액자필수*조연탄 까치산역점_001</t>
  </si>
  <si>
    <t>*사진액자필수*고궁보말칼국수_002</t>
  </si>
  <si>
    <t>말차 길찾기</t>
    <phoneticPr fontId="1" type="noConversion"/>
  </si>
  <si>
    <t>견적</t>
    <phoneticPr fontId="1" type="noConversion"/>
  </si>
  <si>
    <t>블단가</t>
    <phoneticPr fontId="1" type="noConversion"/>
  </si>
  <si>
    <t xml:space="preserve">Seo 확인 후 </t>
    <phoneticPr fontId="1" type="noConversion"/>
  </si>
  <si>
    <t>겟픽 1</t>
    <phoneticPr fontId="1" type="noConversion"/>
  </si>
  <si>
    <t>현재순위</t>
    <phoneticPr fontId="1" type="noConversion"/>
  </si>
  <si>
    <t>최종순위</t>
    <phoneticPr fontId="1" type="noConversion"/>
  </si>
  <si>
    <t>더비스</t>
    <phoneticPr fontId="1" type="noConversion"/>
  </si>
  <si>
    <t>바라크</t>
    <phoneticPr fontId="1" type="noConversion"/>
  </si>
  <si>
    <t>루</t>
    <phoneticPr fontId="1" type="noConversion"/>
  </si>
  <si>
    <t>겟픽</t>
    <phoneticPr fontId="1" type="noConversion"/>
  </si>
  <si>
    <t>은평하수구</t>
    <phoneticPr fontId="1" type="noConversion"/>
  </si>
  <si>
    <t>서대문구 하수구</t>
    <phoneticPr fontId="1" type="noConversion"/>
  </si>
  <si>
    <t>https://m.place.naver.com/place/2048523733</t>
    <phoneticPr fontId="1" type="noConversion"/>
  </si>
  <si>
    <t>https://m.place.naver.com/place/1475117366/home?entry=pll</t>
    <phoneticPr fontId="1" type="noConversion"/>
  </si>
  <si>
    <t>새결에스테틱</t>
    <phoneticPr fontId="1" type="noConversion"/>
  </si>
  <si>
    <t>3*14</t>
    <phoneticPr fontId="1" type="noConversion"/>
  </si>
  <si>
    <t>계양옥</t>
    <phoneticPr fontId="1" type="noConversion"/>
  </si>
  <si>
    <t>2025.09.20</t>
  </si>
  <si>
    <t>*사진액자필수* 하와이안카페_001</t>
  </si>
  <si>
    <t>5*14</t>
    <phoneticPr fontId="1" type="noConversion"/>
  </si>
  <si>
    <t>5*14</t>
    <phoneticPr fontId="1" type="noConversion"/>
  </si>
  <si>
    <t>서면점</t>
    <phoneticPr fontId="1" type="noConversion"/>
  </si>
  <si>
    <t>해운대점</t>
    <phoneticPr fontId="1" type="noConversion"/>
  </si>
  <si>
    <t>장산점</t>
    <phoneticPr fontId="1" type="noConversion"/>
  </si>
  <si>
    <t>동성로점</t>
    <phoneticPr fontId="1" type="noConversion"/>
  </si>
  <si>
    <t>다사점</t>
    <phoneticPr fontId="1" type="noConversion"/>
  </si>
  <si>
    <t>연산점</t>
    <phoneticPr fontId="1" type="noConversion"/>
  </si>
  <si>
    <t>경성대점</t>
    <phoneticPr fontId="1" type="noConversion"/>
  </si>
  <si>
    <t>사직점</t>
    <phoneticPr fontId="1" type="noConversion"/>
  </si>
  <si>
    <t>퍼스트헤어 동성로</t>
    <phoneticPr fontId="1" type="noConversion"/>
  </si>
  <si>
    <t>추가</t>
    <phoneticPr fontId="1" type="noConversion"/>
  </si>
  <si>
    <t>비빔</t>
    <phoneticPr fontId="1" type="noConversion"/>
  </si>
  <si>
    <t>금액</t>
    <phoneticPr fontId="1" type="noConversion"/>
  </si>
  <si>
    <t>10m 4w</t>
    <phoneticPr fontId="1" type="noConversion"/>
  </si>
  <si>
    <t>10m 3w</t>
    <phoneticPr fontId="1" type="noConversion"/>
  </si>
  <si>
    <t>10m 2w</t>
    <phoneticPr fontId="1" type="noConversion"/>
  </si>
  <si>
    <t>10m 1w</t>
    <phoneticPr fontId="1" type="noConversion"/>
  </si>
  <si>
    <t>파주 하수구막힘</t>
    <phoneticPr fontId="1" type="noConversion"/>
  </si>
  <si>
    <t>일산 하수구 막힘</t>
    <phoneticPr fontId="1" type="noConversion"/>
  </si>
  <si>
    <t>부산 베테랑 변호사</t>
    <phoneticPr fontId="1" type="noConversion"/>
  </si>
  <si>
    <t>한놈 상봉역점</t>
    <phoneticPr fontId="1" type="noConversion"/>
  </si>
  <si>
    <t>오월의 꽃수저</t>
    <phoneticPr fontId="1" type="noConversion"/>
  </si>
  <si>
    <t>수영점</t>
    <phoneticPr fontId="1" type="noConversion"/>
  </si>
  <si>
    <t>퍼스트헤어 서면점</t>
    <phoneticPr fontId="1" type="noConversion"/>
  </si>
  <si>
    <t>동성로 스타점</t>
    <phoneticPr fontId="1" type="noConversion"/>
  </si>
  <si>
    <t>열2</t>
  </si>
  <si>
    <t>https://m.place.naver.com/place/1282597447/home</t>
    <phoneticPr fontId="1" type="noConversion"/>
  </si>
  <si>
    <t>7*14</t>
    <phoneticPr fontId="1" type="noConversion"/>
  </si>
  <si>
    <t>모디슨 판교</t>
    <phoneticPr fontId="1" type="noConversion"/>
  </si>
  <si>
    <t>https://m.place.naver.com/place/2044480569/home</t>
    <phoneticPr fontId="1" type="noConversion"/>
  </si>
  <si>
    <t>https://m.place.naver.com/place/37775617/home</t>
    <phoneticPr fontId="1" type="noConversion"/>
  </si>
  <si>
    <t>연신내 자연스튜디오</t>
    <phoneticPr fontId="1" type="noConversion"/>
  </si>
  <si>
    <t>열3</t>
  </si>
  <si>
    <t>통굴통굴 시흥</t>
    <phoneticPr fontId="1" type="noConversion"/>
  </si>
  <si>
    <t>5*14</t>
    <phoneticPr fontId="1" type="noConversion"/>
  </si>
  <si>
    <t>통굴통굴 광명</t>
    <phoneticPr fontId="1" type="noConversion"/>
  </si>
  <si>
    <t>인정카츠</t>
    <phoneticPr fontId="1" type="noConversion"/>
  </si>
  <si>
    <t>태장식당 병점</t>
    <phoneticPr fontId="1" type="noConversion"/>
  </si>
  <si>
    <t>세광양대창 동탄점</t>
    <phoneticPr fontId="1" type="noConversion"/>
  </si>
  <si>
    <t>50(추가)</t>
    <phoneticPr fontId="1" type="noConversion"/>
  </si>
  <si>
    <t>텐케이</t>
    <phoneticPr fontId="1" type="noConversion"/>
  </si>
  <si>
    <t>열4</t>
  </si>
  <si>
    <t>버즈빌</t>
    <phoneticPr fontId="1" type="noConversion"/>
  </si>
  <si>
    <t>화정 니뽕내뽕</t>
    <phoneticPr fontId="1" type="noConversion"/>
  </si>
  <si>
    <t>열5</t>
  </si>
  <si>
    <t>열6</t>
  </si>
  <si>
    <t>열7</t>
  </si>
  <si>
    <t>열8</t>
  </si>
  <si>
    <t>테스트</t>
    <phoneticPr fontId="1" type="noConversion"/>
  </si>
  <si>
    <t>열2</t>
    <phoneticPr fontId="1" type="noConversion"/>
  </si>
  <si>
    <t>이쁘다헤어 서면점</t>
  </si>
  <si>
    <t>이쁘다헤어 장산점</t>
  </si>
  <si>
    <t>https://m.place.naver.com/place/1022013892/home</t>
  </si>
  <si>
    <t>https://m.place.naver.com/place/1016917438/home</t>
  </si>
  <si>
    <t>이쁘다헤어 대구 동성로점</t>
  </si>
  <si>
    <t>이쁘다헤어 연산점</t>
  </si>
  <si>
    <t>https://m.place.naver.com/place/1421207239/home</t>
  </si>
  <si>
    <t>이쁘다헤어 경성대점</t>
  </si>
  <si>
    <t>https://m.place.naver.com/place/1683089915/home</t>
  </si>
  <si>
    <t>이쁘다헤어 사직점</t>
  </si>
  <si>
    <t>https://m.place.naver.com/place/1886277668/home</t>
  </si>
  <si>
    <t>https://m.place.naver.com/place/2035334597/home</t>
  </si>
  <si>
    <t>이쁘다헤어 대구 동성로스타점</t>
  </si>
  <si>
    <t>https://m.place.naver.com/place/1839268518/home</t>
  </si>
  <si>
    <t>퍼스트헤어 서면점</t>
  </si>
  <si>
    <t>https://m.place.naver.com/place/1201249206/home</t>
  </si>
  <si>
    <t>https://m.place.naver.com/place/1642603227/home</t>
  </si>
  <si>
    <t>한놈 상봉역점</t>
  </si>
  <si>
    <t>https://m.place.naver.com/place/2021830539/home</t>
  </si>
  <si>
    <t>살롱하우스바네프 잠실점</t>
  </si>
  <si>
    <t>https://m.place.naver.com/place/1737548149/home</t>
  </si>
  <si>
    <t>Projec D</t>
  </si>
  <si>
    <t>https://m.place.naver.com/place/36073217/home</t>
  </si>
  <si>
    <t>https://m.place.naver.com/place/1409613427/home</t>
  </si>
  <si>
    <t>모디슨 광교점</t>
  </si>
  <si>
    <t>https://m.place.naver.com/place/1382904718/home</t>
  </si>
  <si>
    <t>모디슨 판교본점</t>
  </si>
  <si>
    <t>https://m.place.naver.com/place/2044480569/home</t>
  </si>
  <si>
    <t>모바이오 일산점</t>
  </si>
  <si>
    <t>https://m.place.naver.com/place/1024294111/home</t>
  </si>
  <si>
    <t>마르케</t>
  </si>
  <si>
    <t>https://m.place.naver.com/place/1138528583/home</t>
  </si>
  <si>
    <t>히도</t>
  </si>
  <si>
    <t>https://m.place.naver.com/place/1768171911/home</t>
  </si>
  <si>
    <t>트리플카라반캠핑</t>
  </si>
  <si>
    <t>https://m.place.naver.com/place/2022575390/home</t>
  </si>
  <si>
    <t>새결에스테틱</t>
  </si>
  <si>
    <t>https://m.place.naver.com/place/1108685948/home</t>
  </si>
  <si>
    <t>법무법인 베테랑 부산분사무소</t>
  </si>
  <si>
    <t>https://m.place.naver.com/place/1282597447/home</t>
  </si>
  <si>
    <t>오월의꽃수저 신동카페거리점</t>
  </si>
  <si>
    <t>https://m.place.naver.com/place/2064392403/home</t>
  </si>
  <si>
    <t>샤브토랑 수원역점</t>
  </si>
  <si>
    <t>https://m.place.naver.com/place/1773775267/home</t>
  </si>
  <si>
    <t>봉자막창 수원역점</t>
  </si>
  <si>
    <t>https://m.place.naver.com/place/2047453115/home</t>
  </si>
  <si>
    <t>Seo</t>
    <phoneticPr fontId="1" type="noConversion"/>
  </si>
  <si>
    <t>플레이스url</t>
  </si>
  <si>
    <t>mid</t>
  </si>
  <si>
    <t>https://m.place.naver.com/place/1374995918/home</t>
    <phoneticPr fontId="1" type="noConversion"/>
  </si>
  <si>
    <t>대구아카데미</t>
    <phoneticPr fontId="1" type="noConversion"/>
  </si>
  <si>
    <t>5*14</t>
    <phoneticPr fontId="1" type="noConversion"/>
  </si>
  <si>
    <t>침산점</t>
    <phoneticPr fontId="1" type="noConversion"/>
  </si>
  <si>
    <t>신월성점</t>
    <phoneticPr fontId="1" type="noConversion"/>
  </si>
  <si>
    <t>5*14(저인망)</t>
    <phoneticPr fontId="1" type="noConversion"/>
  </si>
  <si>
    <t>동성로 스타점</t>
    <phoneticPr fontId="1" type="noConversion"/>
  </si>
  <si>
    <t>퍼스트헤어 서면점</t>
    <phoneticPr fontId="1" type="noConversion"/>
  </si>
  <si>
    <t>월요일</t>
    <phoneticPr fontId="1" type="noConversion"/>
  </si>
  <si>
    <t>핏더</t>
    <phoneticPr fontId="1" type="noConversion"/>
  </si>
  <si>
    <t>말차</t>
    <phoneticPr fontId="1" type="noConversion"/>
  </si>
  <si>
    <t>히든</t>
    <phoneticPr fontId="1" type="noConversion"/>
  </si>
  <si>
    <t>퍼펙트</t>
    <phoneticPr fontId="1" type="noConversion"/>
  </si>
  <si>
    <t>홀스자동</t>
    <phoneticPr fontId="1" type="noConversion"/>
  </si>
  <si>
    <t>하이짐</t>
    <phoneticPr fontId="1" type="noConversion"/>
  </si>
  <si>
    <t>https://m.place.naver.com/place/1012331030/home</t>
    <phoneticPr fontId="1" type="noConversion"/>
  </si>
  <si>
    <t>모바이오 송도점</t>
    <phoneticPr fontId="1" type="noConversion"/>
  </si>
  <si>
    <t>https://m.place.naver.com/hairshop/1872013382/home?entry=pll</t>
    <phoneticPr fontId="1" type="noConversion"/>
  </si>
  <si>
    <t>목포명가 강남점</t>
    <phoneticPr fontId="1" type="noConversion"/>
  </si>
  <si>
    <t>200/30</t>
    <phoneticPr fontId="1" type="noConversion"/>
  </si>
  <si>
    <t>침산점 추가</t>
    <phoneticPr fontId="1" type="noConversion"/>
  </si>
  <si>
    <t>이쁘다헤어 하단점</t>
    <phoneticPr fontId="1" type="noConversion"/>
  </si>
  <si>
    <t>스포애니</t>
    <phoneticPr fontId="1" type="noConversion"/>
  </si>
  <si>
    <t>별도시트</t>
    <phoneticPr fontId="1" type="noConversion"/>
  </si>
  <si>
    <t>지부</t>
  </si>
  <si>
    <t>네이버MID</t>
  </si>
  <si>
    <t>Place Url</t>
  </si>
  <si>
    <t>블로그배포(일)</t>
  </si>
  <si>
    <t>트래픽(일)</t>
  </si>
  <si>
    <t>진지부</t>
  </si>
  <si>
    <t>잠실점</t>
  </si>
  <si>
    <t>응암동점</t>
  </si>
  <si>
    <t>연신내역점</t>
  </si>
  <si>
    <t>정지부</t>
  </si>
  <si>
    <t>암사점</t>
  </si>
  <si>
    <t>남부터미널역점</t>
  </si>
  <si>
    <t>응암오거리점</t>
  </si>
  <si>
    <t>성수역점</t>
  </si>
  <si>
    <t>원지부</t>
  </si>
  <si>
    <t>쌍문역점</t>
  </si>
  <si>
    <t>신길동점</t>
  </si>
  <si>
    <t>열지부</t>
  </si>
  <si>
    <t>왕십리역점</t>
  </si>
  <si>
    <t>우장산역점</t>
  </si>
  <si>
    <t>석지부</t>
  </si>
  <si>
    <t>미금점</t>
  </si>
  <si>
    <t>가산디지털단지역점</t>
  </si>
  <si>
    <t>화정역점</t>
  </si>
  <si>
    <t>길지부</t>
  </si>
  <si>
    <t>공덕역점</t>
  </si>
  <si>
    <t>테헤란로점</t>
  </si>
  <si>
    <t>강남역1호점</t>
  </si>
  <si>
    <t>천호역점</t>
  </si>
  <si>
    <t>규지부</t>
  </si>
  <si>
    <t>강동점</t>
  </si>
  <si>
    <t>방배역점</t>
  </si>
  <si>
    <t>N사업본부</t>
  </si>
  <si>
    <t>안양점</t>
  </si>
  <si>
    <t>한티역점</t>
  </si>
  <si>
    <t>합정역점</t>
  </si>
  <si>
    <t>영지부</t>
  </si>
  <si>
    <t>문정점</t>
  </si>
  <si>
    <t>불광역점</t>
  </si>
  <si>
    <t>마두역점</t>
  </si>
  <si>
    <t>교대역점</t>
  </si>
  <si>
    <t>부천심곡점</t>
  </si>
  <si>
    <t>국지부</t>
  </si>
  <si>
    <t>목동역점</t>
  </si>
  <si>
    <t>당산역점</t>
  </si>
  <si>
    <t>아카데미</t>
    <phoneticPr fontId="1" type="noConversion"/>
  </si>
  <si>
    <t>언더더딜</t>
    <phoneticPr fontId="1" type="noConversion"/>
  </si>
  <si>
    <t>다타</t>
    <phoneticPr fontId="1" type="noConversion"/>
  </si>
  <si>
    <t>은평 하수구막힘</t>
    <phoneticPr fontId="1" type="noConversion"/>
  </si>
  <si>
    <t>서대문 하수구 막힘</t>
    <phoneticPr fontId="1" type="noConversion"/>
  </si>
  <si>
    <t>데이지니</t>
    <phoneticPr fontId="1" type="noConversion"/>
  </si>
  <si>
    <t>히도 카츠 합포구직영점</t>
    <phoneticPr fontId="1" type="noConversion"/>
  </si>
  <si>
    <t>25_11m_4w</t>
    <phoneticPr fontId="1" type="noConversion"/>
  </si>
  <si>
    <t>접수요일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</si>
  <si>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</si>
  <si>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</si>
  <si>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</si>
  <si>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퍼스트헤어아카데미 뷰티학원</t>
    <phoneticPr fontId="1" type="noConversion"/>
  </si>
  <si>
    <t>퍼스트헤어아카데미뷰티학원 대구점</t>
    <phoneticPr fontId="1" type="noConversion"/>
  </si>
  <si>
    <t>이쁘다헤어 신월성점</t>
    <phoneticPr fontId="1" type="noConversion"/>
  </si>
  <si>
    <t>이쁘다헤어 침산점</t>
    <phoneticPr fontId="1" type="noConversion"/>
  </si>
  <si>
    <t>초이스테판 김포구래</t>
    <phoneticPr fontId="1" type="noConversion"/>
  </si>
  <si>
    <t>야키토리 리을리을</t>
    <phoneticPr fontId="1" type="noConversion"/>
  </si>
  <si>
    <t>뻥쟁이네 역곡점</t>
    <phoneticPr fontId="1" type="noConversion"/>
  </si>
  <si>
    <t>뻥쟁이네 구래동점</t>
    <phoneticPr fontId="1" type="noConversion"/>
  </si>
  <si>
    <t>뻥쟁이네 부천남부역점</t>
    <phoneticPr fontId="1" type="noConversion"/>
  </si>
  <si>
    <t>뻥쟁이네 신중동역점</t>
    <phoneticPr fontId="1" type="noConversion"/>
  </si>
  <si>
    <t>날짜</t>
    <phoneticPr fontId="1" type="noConversion"/>
  </si>
  <si>
    <t>https://m.place.naver.com/restaurant/1165597556/home</t>
    <phoneticPr fontId="1" type="noConversion"/>
  </si>
  <si>
    <t>https://m.place.naver.com/restaurant/267802526/home?entry=pll</t>
    <phoneticPr fontId="1" type="noConversion"/>
  </si>
  <si>
    <t>태장식당 병점 직영점</t>
    <phoneticPr fontId="1" type="noConversion"/>
  </si>
  <si>
    <t>https://m.place.naver.com/restaurant/1575722042/home</t>
    <phoneticPr fontId="1" type="noConversion"/>
  </si>
  <si>
    <t>피닉스</t>
    <phoneticPr fontId="1" type="noConversion"/>
  </si>
  <si>
    <t>금</t>
    <phoneticPr fontId="1" type="noConversion"/>
  </si>
  <si>
    <t>https://m.place.naver.com/restaurant/36536114/home</t>
    <phoneticPr fontId="1" type="noConversion"/>
  </si>
  <si>
    <t>https://m.place.naver.com/restaurant/1029063503</t>
  </si>
  <si>
    <t>1주</t>
    <phoneticPr fontId="1" type="noConversion"/>
  </si>
  <si>
    <t>1주 실제</t>
    <phoneticPr fontId="1" type="noConversion"/>
  </si>
  <si>
    <t>https://m.place.naver.com/hairshop/1632138788/home</t>
  </si>
  <si>
    <t>https://m.place.naver.com/hairshop/1509576334/home</t>
  </si>
  <si>
    <t>https://m.place.naver.com/hairshop/1642603227/home</t>
  </si>
  <si>
    <t>https://m.place.naver.com/place/1731817909</t>
  </si>
  <si>
    <t>https://m.place.naver.com/place/34283740</t>
  </si>
  <si>
    <t>https://m.place.naver.com/hospital/1628980692/home</t>
  </si>
  <si>
    <t>https://m.place.naver.com/place/2022817604/home?entry=pll</t>
  </si>
  <si>
    <t>https://m.place.naver.com/place/1248197916</t>
  </si>
  <si>
    <t>https://m.place.naver.com/place/37542360</t>
  </si>
  <si>
    <t>핏더라운지 PT&amp;헬스</t>
    <phoneticPr fontId="1" type="noConversion"/>
  </si>
  <si>
    <t>제이슨잉글리쉬플레이그라운드어학원</t>
    <phoneticPr fontId="1" type="noConversion"/>
  </si>
  <si>
    <t>스타커튼</t>
    <phoneticPr fontId="1" type="noConversion"/>
  </si>
  <si>
    <t>미의 창</t>
    <phoneticPr fontId="1" type="noConversion"/>
  </si>
  <si>
    <t>선에스테스파 수원점</t>
    <phoneticPr fontId="1" type="noConversion"/>
  </si>
  <si>
    <t>토리헤어 은평뉴타운점</t>
    <phoneticPr fontId="1" type="noConversion"/>
  </si>
  <si>
    <t>당산원치과의원</t>
    <phoneticPr fontId="1" type="noConversion"/>
  </si>
  <si>
    <t>https://m.place.naver.com/place/1726182684/?entry=pll</t>
  </si>
  <si>
    <t>https://m.place.naver.com/place/1872013382/home</t>
  </si>
  <si>
    <t>https://m.place.naver.com/place/1898707389/home</t>
  </si>
  <si>
    <t>https://m.place.naver.com/place/2056858156/home</t>
  </si>
  <si>
    <t>https://m.place.naver.com/place/1468738927/home</t>
  </si>
  <si>
    <t>https://m.place.naver.com/place/1937818033/home</t>
  </si>
  <si>
    <t>https://m.place.naver.com/restaurant/1091056146/home</t>
    <phoneticPr fontId="1" type="noConversion"/>
  </si>
  <si>
    <t>https://m.place.naver.com/hospital/1004387540/home</t>
    <phoneticPr fontId="1" type="noConversion"/>
  </si>
  <si>
    <t>이쁘다헤어 서면점</t>
    <phoneticPr fontId="1" type="noConversion"/>
  </si>
  <si>
    <t>이쁘다헤어 대구 동성로점</t>
    <phoneticPr fontId="1" type="noConversion"/>
  </si>
  <si>
    <t>이쁘다헤어 연산점</t>
    <phoneticPr fontId="1" type="noConversion"/>
  </si>
  <si>
    <t>이쁘다헤어 경성대점</t>
    <phoneticPr fontId="1" type="noConversion"/>
  </si>
  <si>
    <t>이쁘다헤어 대구 동성로스타점</t>
    <phoneticPr fontId="1" type="noConversion"/>
  </si>
  <si>
    <t>이쁘다헤어 명지국제신도시점</t>
    <phoneticPr fontId="1" type="noConversion"/>
  </si>
  <si>
    <t>이쁘다헤어 화명점</t>
    <phoneticPr fontId="1" type="noConversion"/>
  </si>
  <si>
    <t>이쁘다헤어 장산점</t>
    <phoneticPr fontId="1" type="noConversion"/>
  </si>
  <si>
    <t>이쁘다헤어 사직점</t>
    <phoneticPr fontId="1" type="noConversion"/>
  </si>
  <si>
    <t>시월의사진관 중구청점</t>
    <phoneticPr fontId="1" type="noConversion"/>
  </si>
  <si>
    <t>EOC</t>
    <phoneticPr fontId="1" type="noConversion"/>
  </si>
  <si>
    <t>프디</t>
    <phoneticPr fontId="1" type="noConversion"/>
  </si>
  <si>
    <t>200(100)</t>
    <phoneticPr fontId="1" type="noConversion"/>
  </si>
  <si>
    <t>토스</t>
    <phoneticPr fontId="1" type="noConversion"/>
  </si>
  <si>
    <t>25_12m_1w</t>
    <phoneticPr fontId="1" type="noConversion"/>
  </si>
  <si>
    <t>스포애니</t>
    <phoneticPr fontId="1" type="noConversion"/>
  </si>
  <si>
    <t>https://m.place.naver.com/restaurant/1814512864/home</t>
    <phoneticPr fontId="1" type="noConversion"/>
  </si>
  <si>
    <t>https://m.place.naver.com/restaurant/1864889927/home</t>
    <phoneticPr fontId="1" type="noConversion"/>
  </si>
  <si>
    <t>https://m.place.naver.com/restaurant/2099188087/home</t>
    <phoneticPr fontId="1" type="noConversion"/>
  </si>
  <si>
    <t>돈카츠인정</t>
    <phoneticPr fontId="1" type="noConversion"/>
  </si>
  <si>
    <t>https://m.place.naver.com/restaurant/1596131027/home?entry=pll</t>
    <phoneticPr fontId="1" type="noConversion"/>
  </si>
  <si>
    <t>이쁘다헤어 화명점</t>
  </si>
  <si>
    <t>스포애니 강남역1호점</t>
    <phoneticPr fontId="1" type="noConversion"/>
  </si>
  <si>
    <t>https://m.place.naver.com/place/32507602/home</t>
    <phoneticPr fontId="1" type="noConversion"/>
  </si>
  <si>
    <t>엑셀런트</t>
    <phoneticPr fontId="1" type="noConversion"/>
  </si>
  <si>
    <t>https://m.place.naver.com/restaurant/1997864570/home</t>
  </si>
  <si>
    <t>천북굴단지 훈이네굴수산</t>
    <phoneticPr fontId="1" type="noConversion"/>
  </si>
  <si>
    <t>버즈빌길</t>
    <phoneticPr fontId="1" type="noConversion"/>
  </si>
  <si>
    <t>구명애포항물회 광안리본점</t>
    <phoneticPr fontId="1" type="noConversion"/>
  </si>
  <si>
    <t>https://m.place.naver.com/place/1848049619</t>
  </si>
  <si>
    <t>mid</t>
    <phoneticPr fontId="1" type="noConversion"/>
  </si>
  <si>
    <t>지점명</t>
    <phoneticPr fontId="1" type="noConversion"/>
  </si>
  <si>
    <t>url</t>
    <phoneticPr fontId="1" type="noConversion"/>
  </si>
  <si>
    <t>트래픽</t>
    <phoneticPr fontId="1" type="noConversion"/>
  </si>
  <si>
    <t>실</t>
    <phoneticPr fontId="1" type="noConversion"/>
  </si>
  <si>
    <t>플레이스url</t>
    <phoneticPr fontId="1" type="noConversion"/>
  </si>
  <si>
    <t>메종 드 플레터 스타시티 서울 레스토랑</t>
    <phoneticPr fontId="1" type="noConversion"/>
  </si>
  <si>
    <t>https://m.place.naver.com/restaurant/1770334939/home</t>
  </si>
  <si>
    <t>거복이식당 회기 본점</t>
    <phoneticPr fontId="1" type="noConversion"/>
  </si>
  <si>
    <t>https://m.place.naver.com/restaurant/2038302317/home</t>
  </si>
  <si>
    <t>거복이식당 대학로</t>
    <phoneticPr fontId="1" type="noConversion"/>
  </si>
  <si>
    <t>오봉집 청천산곡점</t>
    <phoneticPr fontId="1" type="noConversion"/>
  </si>
  <si>
    <t>https://m.place.naver.com/restaurant/1249534579/home</t>
  </si>
  <si>
    <t>한월 홍대</t>
    <phoneticPr fontId="1" type="noConversion"/>
  </si>
  <si>
    <t>지엘에이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</si>
</sst>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mm&quot;월&quot;\ dd&quot;일&quot;"/>
  </numFmts>
  <fonts count="3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.45"/>
      <color rgb="FF333333"/>
      <name val="SUIT"/>
      <family val="2"/>
    </font>
    <font>
      <sz val="10.45"/>
      <color rgb="FFFF0000"/>
      <name val="SUIT"/>
      <family val="2"/>
    </font>
    <font>
      <sz val="10.45"/>
      <color rgb="FF008000"/>
      <name val="SUIT"/>
      <family val="2"/>
    </font>
    <font>
      <sz val="10.45"/>
      <color rgb="FF0000FF"/>
      <name val="SUIT"/>
      <family val="2"/>
    </font>
    <font>
      <sz val="10.45"/>
      <color rgb="FF333333"/>
      <name val="SUIT"/>
      <family val="2"/>
    </font>
    <font>
      <b/>
      <sz val="12"/>
      <color rgb="FF333333"/>
      <name val="SUIT"/>
      <family val="2"/>
    </font>
    <font>
      <sz val="10"/>
      <color theme="1"/>
      <name val="Arial Unicode MS"/>
      <family val="2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rgb="FF000000"/>
      <name val="Arial"/>
      <family val="2"/>
    </font>
    <font>
      <sz val="10.45"/>
      <color rgb="FF333333"/>
      <name val="SUIT"/>
      <family val="2"/>
    </font>
    <font>
      <sz val="10.45"/>
      <color rgb="FFFF0000"/>
      <name val="SUIT"/>
      <family val="2"/>
    </font>
    <font>
      <sz val="10.45"/>
      <color rgb="FF008000"/>
      <name val="SUIT"/>
      <family val="2"/>
    </font>
    <font>
      <sz val="10.45"/>
      <color rgb="FF0000FF"/>
      <name val="SUIT"/>
      <family val="2"/>
    </font>
    <font>
      <sz val="10"/>
      <color theme="1"/>
      <name val="맑은 고딕"/>
      <family val="3"/>
      <charset val="129"/>
      <scheme val="minor"/>
    </font>
    <font>
      <b/>
      <sz val="11"/>
      <color rgb="FF9C0006"/>
      <name val="맑은 고딕"/>
      <family val="3"/>
      <charset val="129"/>
      <scheme val="minor"/>
    </font>
    <font>
      <sz val="10.45"/>
      <color rgb="FF333333"/>
      <name val="SUIT"/>
      <family val="2"/>
    </font>
    <font>
      <sz val="10.45"/>
      <color rgb="FFFF0000"/>
      <name val="SUIT"/>
      <family val="2"/>
    </font>
    <font>
      <sz val="10.45"/>
      <color rgb="FF008000"/>
      <name val="SUIT"/>
      <family val="2"/>
    </font>
    <font>
      <sz val="10.45"/>
      <color rgb="FF0000FF"/>
      <name val="SUIT"/>
      <family val="2"/>
    </font>
    <font>
      <b/>
      <sz val="11"/>
      <color rgb="FFC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medium">
        <color indexed="64"/>
      </top>
      <bottom style="double">
        <color rgb="FF3F3F3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rgb="FF3F3F3F"/>
      </left>
      <right style="double">
        <color rgb="FF3F3F3F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rgb="FFE0E0E0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theme="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theme="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medium">
        <color indexed="64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/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16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28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42" fontId="0" fillId="0" borderId="0" xfId="1" applyFont="1">
      <alignment vertical="center"/>
    </xf>
    <xf numFmtId="42" fontId="4" fillId="0" borderId="0" xfId="1" applyFont="1">
      <alignment vertical="center"/>
    </xf>
    <xf numFmtId="42" fontId="4" fillId="0" borderId="0" xfId="0" applyNumberFormat="1" applyFont="1">
      <alignment vertical="center"/>
    </xf>
    <xf numFmtId="3" fontId="0" fillId="0" borderId="0" xfId="0" applyNumberFormat="1">
      <alignment vertical="center"/>
    </xf>
    <xf numFmtId="0" fontId="2" fillId="2" borderId="0" xfId="0" applyFont="1" applyFill="1">
      <alignment vertical="center"/>
    </xf>
    <xf numFmtId="42" fontId="0" fillId="0" borderId="0" xfId="0" applyNumberFormat="1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2" fontId="0" fillId="0" borderId="0" xfId="1" applyFont="1" applyAlignment="1">
      <alignment horizontal="center" vertical="center"/>
    </xf>
    <xf numFmtId="42" fontId="4" fillId="0" borderId="0" xfId="0" applyNumberFormat="1" applyFont="1" applyAlignment="1">
      <alignment horizontal="center" vertical="center"/>
    </xf>
    <xf numFmtId="42" fontId="4" fillId="0" borderId="0" xfId="1" applyFont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7" fillId="6" borderId="3" xfId="3" applyBorder="1" applyAlignment="1">
      <alignment horizontal="center" vertical="center"/>
    </xf>
    <xf numFmtId="0" fontId="7" fillId="6" borderId="4" xfId="3" applyBorder="1" applyAlignment="1">
      <alignment horizontal="center" vertical="center"/>
    </xf>
    <xf numFmtId="0" fontId="7" fillId="6" borderId="5" xfId="3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7" borderId="26" xfId="4" applyBorder="1" applyAlignment="1">
      <alignment horizontal="center" vertical="center"/>
    </xf>
    <xf numFmtId="0" fontId="8" fillId="7" borderId="27" xfId="4" applyBorder="1" applyAlignment="1">
      <alignment horizontal="center" vertical="center"/>
    </xf>
    <xf numFmtId="0" fontId="8" fillId="7" borderId="28" xfId="4" applyBorder="1" applyAlignment="1">
      <alignment horizontal="center" vertical="center"/>
    </xf>
    <xf numFmtId="0" fontId="8" fillId="7" borderId="29" xfId="4" applyBorder="1" applyAlignment="1">
      <alignment horizontal="center" vertical="center"/>
    </xf>
    <xf numFmtId="0" fontId="8" fillId="7" borderId="16" xfId="4" applyAlignment="1">
      <alignment horizontal="center" vertical="center"/>
    </xf>
    <xf numFmtId="0" fontId="8" fillId="7" borderId="30" xfId="4" applyBorder="1" applyAlignment="1">
      <alignment horizontal="center" vertical="center"/>
    </xf>
    <xf numFmtId="0" fontId="8" fillId="7" borderId="32" xfId="4" applyBorder="1" applyAlignment="1">
      <alignment horizontal="center" vertical="center"/>
    </xf>
    <xf numFmtId="0" fontId="8" fillId="7" borderId="33" xfId="4" applyBorder="1" applyAlignment="1">
      <alignment horizontal="center" vertical="center"/>
    </xf>
    <xf numFmtId="0" fontId="8" fillId="7" borderId="34" xfId="4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5" borderId="35" xfId="2" applyFont="1" applyBorder="1" applyAlignment="1">
      <alignment horizontal="center" vertical="center"/>
    </xf>
    <xf numFmtId="0" fontId="4" fillId="5" borderId="17" xfId="2" applyFont="1" applyBorder="1" applyAlignment="1">
      <alignment horizontal="center" vertical="center"/>
    </xf>
    <xf numFmtId="0" fontId="4" fillId="5" borderId="31" xfId="2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5" borderId="41" xfId="2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5" borderId="43" xfId="2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8" fillId="7" borderId="45" xfId="4" applyBorder="1" applyAlignment="1">
      <alignment horizontal="center" vertical="center"/>
    </xf>
    <xf numFmtId="0" fontId="8" fillId="7" borderId="46" xfId="4" applyBorder="1" applyAlignment="1">
      <alignment horizontal="center" vertical="center"/>
    </xf>
    <xf numFmtId="0" fontId="8" fillId="7" borderId="47" xfId="4" applyBorder="1" applyAlignment="1">
      <alignment horizontal="center" vertical="center"/>
    </xf>
    <xf numFmtId="0" fontId="4" fillId="0" borderId="48" xfId="0" applyFont="1" applyBorder="1">
      <alignment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5" borderId="53" xfId="2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8" fillId="7" borderId="55" xfId="4" applyBorder="1" applyAlignment="1">
      <alignment horizontal="center" vertical="center"/>
    </xf>
    <xf numFmtId="0" fontId="8" fillId="7" borderId="56" xfId="4" applyBorder="1" applyAlignment="1">
      <alignment horizontal="center" vertical="center"/>
    </xf>
    <xf numFmtId="0" fontId="8" fillId="7" borderId="57" xfId="4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2" borderId="0" xfId="0" applyFont="1" applyFill="1">
      <alignment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41" xfId="2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8" fillId="2" borderId="32" xfId="4" applyFill="1" applyBorder="1" applyAlignment="1">
      <alignment horizontal="center" vertical="center"/>
    </xf>
    <xf numFmtId="0" fontId="8" fillId="2" borderId="33" xfId="4" applyFill="1" applyBorder="1" applyAlignment="1">
      <alignment horizontal="center" vertical="center"/>
    </xf>
    <xf numFmtId="0" fontId="8" fillId="2" borderId="34" xfId="4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0" fillId="9" borderId="36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10" borderId="19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  <xf numFmtId="0" fontId="4" fillId="10" borderId="22" xfId="0" applyFont="1" applyFill="1" applyBorder="1" applyAlignment="1">
      <alignment horizontal="center" vertical="center"/>
    </xf>
    <xf numFmtId="0" fontId="4" fillId="10" borderId="17" xfId="2" applyFont="1" applyFill="1" applyBorder="1" applyAlignment="1">
      <alignment horizontal="center" vertical="center"/>
    </xf>
    <xf numFmtId="0" fontId="4" fillId="10" borderId="25" xfId="0" applyFont="1" applyFill="1" applyBorder="1" applyAlignment="1">
      <alignment horizontal="center" vertical="center"/>
    </xf>
    <xf numFmtId="0" fontId="8" fillId="10" borderId="29" xfId="4" applyFill="1" applyBorder="1" applyAlignment="1">
      <alignment horizontal="center" vertical="center"/>
    </xf>
    <xf numFmtId="0" fontId="8" fillId="10" borderId="16" xfId="4" applyFill="1" applyAlignment="1">
      <alignment horizontal="center" vertical="center"/>
    </xf>
    <xf numFmtId="0" fontId="8" fillId="10" borderId="30" xfId="4" applyFill="1" applyBorder="1" applyAlignment="1">
      <alignment horizontal="center" vertical="center"/>
    </xf>
    <xf numFmtId="0" fontId="4" fillId="10" borderId="14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15" fillId="0" borderId="59" xfId="0" applyFont="1" applyBorder="1" applyAlignment="1">
      <alignment horizontal="center" vertical="center" wrapText="1"/>
    </xf>
    <xf numFmtId="0" fontId="11" fillId="0" borderId="59" xfId="0" applyFont="1" applyBorder="1" applyAlignment="1">
      <alignment horizontal="center" vertical="center" wrapText="1"/>
    </xf>
    <xf numFmtId="0" fontId="11" fillId="0" borderId="59" xfId="0" applyFont="1" applyBorder="1" applyAlignment="1">
      <alignment horizontal="left" vertical="center" wrapText="1"/>
    </xf>
    <xf numFmtId="0" fontId="12" fillId="0" borderId="59" xfId="0" applyFont="1" applyBorder="1" applyAlignment="1">
      <alignment horizontal="center" vertical="center" wrapText="1"/>
    </xf>
    <xf numFmtId="0" fontId="13" fillId="0" borderId="59" xfId="0" applyFont="1" applyBorder="1" applyAlignment="1">
      <alignment horizontal="center" vertical="center" wrapText="1"/>
    </xf>
    <xf numFmtId="0" fontId="14" fillId="0" borderId="59" xfId="0" applyFont="1" applyBorder="1" applyAlignment="1">
      <alignment horizontal="center" vertical="center" wrapText="1"/>
    </xf>
    <xf numFmtId="0" fontId="16" fillId="11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4" fillId="8" borderId="1" xfId="0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9" fillId="0" borderId="0" xfId="5" applyAlignment="1">
      <alignment vertical="center" wrapText="1"/>
    </xf>
    <xf numFmtId="0" fontId="19" fillId="0" borderId="60" xfId="0" applyFont="1" applyBorder="1" applyAlignment="1">
      <alignment vertical="center" wrapText="1"/>
    </xf>
    <xf numFmtId="0" fontId="18" fillId="0" borderId="60" xfId="0" applyFont="1" applyBorder="1" applyAlignment="1">
      <alignment vertical="center" wrapText="1"/>
    </xf>
    <xf numFmtId="0" fontId="18" fillId="0" borderId="60" xfId="0" applyFont="1" applyBorder="1" applyAlignment="1">
      <alignment horizontal="center" vertical="center" wrapText="1"/>
    </xf>
    <xf numFmtId="0" fontId="17" fillId="0" borderId="60" xfId="0" applyFont="1" applyBorder="1" applyAlignment="1">
      <alignment vertical="center" wrapText="1"/>
    </xf>
    <xf numFmtId="0" fontId="19" fillId="0" borderId="60" xfId="0" applyFont="1" applyBorder="1" applyAlignment="1">
      <alignment horizontal="center" vertical="center" wrapText="1"/>
    </xf>
    <xf numFmtId="0" fontId="0" fillId="0" borderId="60" xfId="0" applyBorder="1">
      <alignment vertical="center"/>
    </xf>
    <xf numFmtId="0" fontId="20" fillId="0" borderId="0" xfId="0" applyFont="1">
      <alignment vertical="center"/>
    </xf>
    <xf numFmtId="0" fontId="9" fillId="0" borderId="60" xfId="5" applyBorder="1" applyAlignment="1">
      <alignment vertical="center" wrapText="1"/>
    </xf>
    <xf numFmtId="0" fontId="21" fillId="0" borderId="59" xfId="0" applyFont="1" applyBorder="1" applyAlignment="1">
      <alignment horizontal="center" vertical="center" wrapText="1"/>
    </xf>
    <xf numFmtId="0" fontId="22" fillId="0" borderId="59" xfId="0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63" xfId="0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42" fontId="4" fillId="0" borderId="0" xfId="1" applyFont="1" applyBorder="1" applyAlignment="1">
      <alignment horizontal="center" vertical="center"/>
    </xf>
    <xf numFmtId="0" fontId="25" fillId="0" borderId="0" xfId="0" applyFont="1">
      <alignment vertical="center"/>
    </xf>
    <xf numFmtId="0" fontId="19" fillId="0" borderId="61" xfId="0" applyFont="1" applyBorder="1" applyAlignment="1">
      <alignment horizontal="center" vertical="center"/>
    </xf>
    <xf numFmtId="0" fontId="19" fillId="8" borderId="61" xfId="0" applyFont="1" applyFill="1" applyBorder="1" applyAlignment="1">
      <alignment horizontal="center" vertical="center"/>
    </xf>
    <xf numFmtId="0" fontId="19" fillId="10" borderId="61" xfId="0" applyFont="1" applyFill="1" applyBorder="1" applyAlignment="1">
      <alignment horizontal="center" vertical="center"/>
    </xf>
    <xf numFmtId="0" fontId="19" fillId="12" borderId="61" xfId="0" applyFont="1" applyFill="1" applyBorder="1" applyAlignment="1">
      <alignment horizontal="center" vertical="center"/>
    </xf>
    <xf numFmtId="176" fontId="25" fillId="0" borderId="0" xfId="0" applyNumberFormat="1" applyFont="1" applyAlignment="1">
      <alignment horizontal="center" vertical="center"/>
    </xf>
    <xf numFmtId="0" fontId="18" fillId="12" borderId="0" xfId="0" applyFont="1" applyFill="1" applyAlignment="1">
      <alignment horizontal="center" vertical="center" wrapText="1"/>
    </xf>
    <xf numFmtId="0" fontId="17" fillId="12" borderId="0" xfId="0" applyFont="1" applyFill="1" applyAlignment="1">
      <alignment vertical="center" wrapText="1"/>
    </xf>
    <xf numFmtId="0" fontId="19" fillId="12" borderId="0" xfId="0" applyFont="1" applyFill="1" applyAlignment="1">
      <alignment vertical="center" wrapText="1"/>
    </xf>
    <xf numFmtId="0" fontId="19" fillId="12" borderId="0" xfId="0" applyFont="1" applyFill="1" applyAlignment="1">
      <alignment horizontal="center" vertical="center" wrapText="1"/>
    </xf>
    <xf numFmtId="0" fontId="0" fillId="12" borderId="0" xfId="0" applyFill="1">
      <alignment vertical="center"/>
    </xf>
    <xf numFmtId="0" fontId="19" fillId="10" borderId="0" xfId="0" applyFont="1" applyFill="1" applyAlignment="1">
      <alignment vertical="center" wrapText="1"/>
    </xf>
    <xf numFmtId="0" fontId="19" fillId="10" borderId="0" xfId="0" applyFont="1" applyFill="1" applyAlignment="1">
      <alignment horizontal="center" vertical="center" wrapText="1"/>
    </xf>
    <xf numFmtId="0" fontId="0" fillId="10" borderId="0" xfId="0" applyFill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18" fillId="0" borderId="64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18" fillId="0" borderId="66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10" borderId="8" xfId="0" applyFont="1" applyFill="1" applyBorder="1" applyAlignment="1">
      <alignment horizontal="center" vertical="center" wrapText="1"/>
    </xf>
    <xf numFmtId="0" fontId="19" fillId="10" borderId="67" xfId="0" applyFont="1" applyFill="1" applyBorder="1" applyAlignment="1">
      <alignment horizontal="center" vertical="center" wrapText="1"/>
    </xf>
    <xf numFmtId="0" fontId="19" fillId="0" borderId="68" xfId="0" applyFont="1" applyBorder="1" applyAlignment="1">
      <alignment horizontal="center" vertical="center" wrapText="1"/>
    </xf>
    <xf numFmtId="0" fontId="19" fillId="0" borderId="69" xfId="0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12" borderId="8" xfId="0" applyFill="1" applyBorder="1">
      <alignment vertical="center"/>
    </xf>
    <xf numFmtId="0" fontId="0" fillId="0" borderId="70" xfId="0" applyBorder="1">
      <alignment vertical="center"/>
    </xf>
    <xf numFmtId="0" fontId="0" fillId="10" borderId="8" xfId="0" applyFill="1" applyBorder="1">
      <alignment vertical="center"/>
    </xf>
    <xf numFmtId="0" fontId="0" fillId="0" borderId="67" xfId="0" applyBorder="1">
      <alignment vertical="center"/>
    </xf>
    <xf numFmtId="0" fontId="0" fillId="0" borderId="68" xfId="0" applyBorder="1">
      <alignment vertical="center"/>
    </xf>
    <xf numFmtId="0" fontId="19" fillId="10" borderId="68" xfId="0" applyFont="1" applyFill="1" applyBorder="1" applyAlignment="1">
      <alignment horizontal="center" vertical="center" wrapText="1"/>
    </xf>
    <xf numFmtId="0" fontId="9" fillId="0" borderId="0" xfId="5">
      <alignment vertical="center"/>
    </xf>
    <xf numFmtId="0" fontId="26" fillId="6" borderId="4" xfId="3" applyFont="1" applyBorder="1" applyAlignment="1">
      <alignment horizontal="center" vertical="center"/>
    </xf>
    <xf numFmtId="0" fontId="27" fillId="0" borderId="59" xfId="0" applyFont="1" applyBorder="1" applyAlignment="1">
      <alignment horizontal="center" vertical="center" wrapText="1"/>
    </xf>
    <xf numFmtId="0" fontId="28" fillId="0" borderId="59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 wrapText="1"/>
    </xf>
    <xf numFmtId="0" fontId="4" fillId="10" borderId="6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42" fontId="0" fillId="2" borderId="0" xfId="0" applyNumberFormat="1" applyFill="1">
      <alignment vertical="center"/>
    </xf>
    <xf numFmtId="42" fontId="4" fillId="2" borderId="0" xfId="0" applyNumberFormat="1" applyFont="1" applyFill="1">
      <alignment vertical="center"/>
    </xf>
    <xf numFmtId="0" fontId="4" fillId="0" borderId="73" xfId="0" applyFont="1" applyBorder="1" applyAlignment="1">
      <alignment horizontal="center" vertical="center"/>
    </xf>
    <xf numFmtId="0" fontId="7" fillId="6" borderId="73" xfId="3" applyBorder="1" applyAlignment="1">
      <alignment horizontal="center" vertical="center"/>
    </xf>
    <xf numFmtId="0" fontId="26" fillId="6" borderId="1" xfId="3" applyFont="1" applyBorder="1" applyAlignment="1">
      <alignment horizontal="center" vertical="center"/>
    </xf>
    <xf numFmtId="0" fontId="4" fillId="6" borderId="1" xfId="3" applyFont="1" applyBorder="1" applyAlignment="1">
      <alignment horizontal="center" vertical="center"/>
    </xf>
    <xf numFmtId="0" fontId="7" fillId="6" borderId="25" xfId="3" applyBorder="1" applyAlignment="1">
      <alignment horizontal="center" vertical="center"/>
    </xf>
    <xf numFmtId="0" fontId="7" fillId="6" borderId="7" xfId="3" applyBorder="1" applyAlignment="1">
      <alignment horizontal="center" vertical="center"/>
    </xf>
    <xf numFmtId="0" fontId="9" fillId="0" borderId="13" xfId="5" applyBorder="1" applyAlignment="1">
      <alignment horizontal="center" vertical="center"/>
    </xf>
    <xf numFmtId="0" fontId="9" fillId="0" borderId="14" xfId="5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0" borderId="13" xfId="5" applyFont="1" applyBorder="1" applyAlignment="1">
      <alignment horizontal="center" vertical="center"/>
    </xf>
    <xf numFmtId="0" fontId="7" fillId="6" borderId="65" xfId="3" applyBorder="1" applyAlignment="1">
      <alignment horizontal="center" vertical="center"/>
    </xf>
    <xf numFmtId="0" fontId="7" fillId="6" borderId="0" xfId="3" applyBorder="1" applyAlignment="1">
      <alignment horizontal="center" vertical="center"/>
    </xf>
    <xf numFmtId="0" fontId="8" fillId="7" borderId="74" xfId="4" applyBorder="1" applyAlignment="1">
      <alignment horizontal="center" vertical="center"/>
    </xf>
    <xf numFmtId="0" fontId="8" fillId="7" borderId="75" xfId="4" applyBorder="1" applyAlignment="1">
      <alignment horizontal="center" vertical="center"/>
    </xf>
    <xf numFmtId="0" fontId="8" fillId="2" borderId="76" xfId="4" applyFill="1" applyBorder="1" applyAlignment="1">
      <alignment horizontal="center" vertical="center"/>
    </xf>
    <xf numFmtId="0" fontId="8" fillId="7" borderId="76" xfId="4" applyBorder="1" applyAlignment="1">
      <alignment horizontal="center" vertical="center"/>
    </xf>
    <xf numFmtId="0" fontId="8" fillId="10" borderId="75" xfId="4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4" fillId="7" borderId="13" xfId="4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26" fillId="6" borderId="20" xfId="3" applyFont="1" applyBorder="1" applyAlignment="1">
      <alignment horizontal="center" vertical="center"/>
    </xf>
    <xf numFmtId="0" fontId="4" fillId="6" borderId="20" xfId="3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33" fillId="0" borderId="1" xfId="0" applyFont="1" applyBorder="1">
      <alignment vertical="center"/>
    </xf>
    <xf numFmtId="0" fontId="4" fillId="5" borderId="1" xfId="2" applyFont="1" applyBorder="1" applyAlignment="1">
      <alignment horizontal="center" vertical="center"/>
    </xf>
    <xf numFmtId="0" fontId="7" fillId="6" borderId="1" xfId="3" applyBorder="1" applyAlignment="1">
      <alignment horizontal="center" vertical="center"/>
    </xf>
    <xf numFmtId="0" fontId="8" fillId="7" borderId="1" xfId="4" applyBorder="1" applyAlignment="1">
      <alignment horizontal="center" vertical="center"/>
    </xf>
    <xf numFmtId="0" fontId="4" fillId="7" borderId="1" xfId="4" applyFont="1" applyBorder="1" applyAlignment="1">
      <alignment horizontal="center" vertical="center"/>
    </xf>
    <xf numFmtId="0" fontId="9" fillId="0" borderId="1" xfId="5" applyBorder="1" applyAlignment="1">
      <alignment horizontal="center" vertical="center"/>
    </xf>
    <xf numFmtId="0" fontId="4" fillId="0" borderId="1" xfId="5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76" fontId="4" fillId="0" borderId="20" xfId="0" applyNumberFormat="1" applyFont="1" applyBorder="1" applyAlignment="1">
      <alignment horizontal="center" vertical="center"/>
    </xf>
    <xf numFmtId="0" fontId="4" fillId="5" borderId="20" xfId="2" applyFont="1" applyBorder="1" applyAlignment="1">
      <alignment horizontal="center" vertical="center"/>
    </xf>
    <xf numFmtId="0" fontId="7" fillId="6" borderId="20" xfId="3" applyBorder="1" applyAlignment="1">
      <alignment horizontal="center" vertical="center"/>
    </xf>
    <xf numFmtId="0" fontId="8" fillId="7" borderId="20" xfId="4" applyBorder="1" applyAlignment="1">
      <alignment horizontal="center" vertical="center"/>
    </xf>
    <xf numFmtId="0" fontId="4" fillId="0" borderId="20" xfId="0" applyFont="1" applyBorder="1">
      <alignment vertical="center"/>
    </xf>
    <xf numFmtId="0" fontId="10" fillId="9" borderId="77" xfId="0" applyFont="1" applyFill="1" applyBorder="1" applyAlignment="1">
      <alignment horizontal="center" vertical="center"/>
    </xf>
    <xf numFmtId="0" fontId="10" fillId="9" borderId="78" xfId="0" applyFont="1" applyFill="1" applyBorder="1" applyAlignment="1">
      <alignment horizontal="center" vertical="center"/>
    </xf>
    <xf numFmtId="0" fontId="4" fillId="0" borderId="78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0" fontId="4" fillId="0" borderId="81" xfId="0" applyFont="1" applyBorder="1" applyAlignment="1">
      <alignment horizontal="center" vertical="center"/>
    </xf>
    <xf numFmtId="0" fontId="4" fillId="5" borderId="82" xfId="2" applyFont="1" applyBorder="1" applyAlignment="1">
      <alignment horizontal="center" vertical="center"/>
    </xf>
    <xf numFmtId="0" fontId="4" fillId="0" borderId="83" xfId="0" applyFont="1" applyBorder="1" applyAlignment="1">
      <alignment horizontal="center" vertical="center"/>
    </xf>
    <xf numFmtId="0" fontId="7" fillId="6" borderId="77" xfId="3" applyBorder="1" applyAlignment="1">
      <alignment horizontal="center" vertical="center"/>
    </xf>
    <xf numFmtId="0" fontId="26" fillId="6" borderId="78" xfId="3" applyFont="1" applyBorder="1" applyAlignment="1">
      <alignment horizontal="center" vertical="center"/>
    </xf>
    <xf numFmtId="0" fontId="7" fillId="6" borderId="78" xfId="3" applyBorder="1" applyAlignment="1">
      <alignment horizontal="center" vertical="center"/>
    </xf>
    <xf numFmtId="0" fontId="7" fillId="6" borderId="83" xfId="3" applyBorder="1" applyAlignment="1">
      <alignment horizontal="center" vertical="center"/>
    </xf>
    <xf numFmtId="0" fontId="8" fillId="7" borderId="84" xfId="4" applyBorder="1" applyAlignment="1">
      <alignment horizontal="center" vertical="center"/>
    </xf>
    <xf numFmtId="0" fontId="8" fillId="7" borderId="85" xfId="4" applyBorder="1" applyAlignment="1">
      <alignment horizontal="center" vertical="center"/>
    </xf>
    <xf numFmtId="0" fontId="8" fillId="7" borderId="86" xfId="4" applyBorder="1" applyAlignment="1">
      <alignment horizontal="center" vertical="center"/>
    </xf>
    <xf numFmtId="0" fontId="8" fillId="7" borderId="87" xfId="4" applyBorder="1" applyAlignment="1">
      <alignment horizontal="center" vertical="center"/>
    </xf>
    <xf numFmtId="0" fontId="4" fillId="0" borderId="79" xfId="0" applyFont="1" applyBorder="1">
      <alignment vertical="center"/>
    </xf>
    <xf numFmtId="0" fontId="4" fillId="13" borderId="1" xfId="0" applyFont="1" applyFill="1" applyBorder="1">
      <alignment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1" xfId="2" applyFont="1" applyFill="1" applyBorder="1" applyAlignment="1">
      <alignment horizontal="center" vertical="center"/>
    </xf>
    <xf numFmtId="0" fontId="8" fillId="13" borderId="1" xfId="4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7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0" xfId="0" applyFont="1">
      <alignment vertical="center"/>
    </xf>
    <xf numFmtId="0" fontId="33" fillId="0" borderId="1" xfId="0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9" fillId="0" borderId="1" xfId="5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5" fillId="0" borderId="1" xfId="0" applyFont="1" applyBorder="1">
      <alignment vertical="center"/>
    </xf>
    <xf numFmtId="41" fontId="0" fillId="0" borderId="0" xfId="6" applyFont="1">
      <alignment vertical="center"/>
    </xf>
  </cellXfs>
  <cellStyles count="7">
    <cellStyle name="나쁨" xfId="3" builtinId="27"/>
    <cellStyle name="쉼표 [0]" xfId="6" builtinId="6"/>
    <cellStyle name="입력" xfId="4" builtinId="20"/>
    <cellStyle name="좋음" xfId="2" builtinId="26"/>
    <cellStyle name="통화 [0]" xfId="1" builtinId="7"/>
    <cellStyle name="표준" xfId="0" builtinId="0"/>
    <cellStyle name="하이퍼링크" xfId="5" builtinId="8"/>
  </cellStyles>
  <dxfs count="35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medium">
          <color indexed="64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7F7F7F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medium">
          <color indexed="64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7F7F7F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medium">
          <color indexed="64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7F7F7F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medium">
          <color indexed="64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7F7F7F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family val="3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medium">
          <color indexed="64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7F7F7F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family val="3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medium">
          <color indexed="64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7F7F7F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family val="3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medium">
          <color indexed="64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7F7F7F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family val="3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medium">
          <color indexed="64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7F7F7F"/>
        </right>
        <top style="thin">
          <color rgb="FF7F7F7F"/>
        </top>
        <bottom style="thin">
          <color rgb="FF7F7F7F"/>
        </bottom>
        <vertical style="thin">
          <color rgb="FF7F7F7F"/>
        </vertical>
        <horizontal style="thin">
          <color rgb="FF7F7F7F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family val="3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3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3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3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3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3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46B9889-4B83-4686-AFEE-BE60B9B20020}" name="표1_34567891011121314" displayName="표1_34567891011121314" ref="D2:AH103" totalsRowShown="0" headerRowDxfId="357" headerRowBorderDxfId="356">
  <autoFilter ref="D2:AH103" xr:uid="{972324F1-6005-4F17-A31D-57B08393F0A3}"/>
  <tableColumns count="31">
    <tableColumn id="1" xr3:uid="{EB5C77A2-578E-415F-A0B3-A27AD41D1B12}" name="매장명" dataDxfId="355"/>
    <tableColumn id="31" xr3:uid="{DD94E6F3-F1F3-4B11-AF17-E68D71161BF2}" name="플레이스url" dataDxfId="354"/>
    <tableColumn id="5" xr3:uid="{0CAA2444-32F2-49F7-92C7-9D6423F0F671}" name="피닉스" dataDxfId="353"/>
    <tableColumn id="4" xr3:uid="{7AC3910C-3556-42CE-B8D7-7CED1085FA05}" name="호올스" dataDxfId="352"/>
    <tableColumn id="6" xr3:uid="{BFD316B1-371D-4496-84CF-5BF0D0B62006}" name="히든" dataDxfId="351"/>
    <tableColumn id="24" xr3:uid="{2EC87087-051B-496D-AEA0-DB13DA9261B5}" name="엑셀런트" dataDxfId="350"/>
    <tableColumn id="23" xr3:uid="{93407DA1-8F1C-4E9B-873C-E475BE08F189}" name="토스" dataDxfId="349"/>
    <tableColumn id="30" xr3:uid="{2B2E2DC5-CDA8-4368-B366-4BCD80F3CC8D}" name="다타" dataDxfId="348"/>
    <tableColumn id="29" xr3:uid="{110447FE-5D40-47ED-A674-ACF752B59D94}" name="언더더딜" dataDxfId="347"/>
    <tableColumn id="7" xr3:uid="{91E97772-DC89-4B4A-B5DC-ED0A170908D8}" name="퍼펙트" dataDxfId="346"/>
    <tableColumn id="22" xr3:uid="{411F25F9-671E-4DF3-BD61-A1C9DA4990A0}" name="버즈빌" dataDxfId="345"/>
    <tableColumn id="28" xr3:uid="{F7F2899A-AE9B-4CC9-A525-D6D1A4AFAAC0}" name="텐케이" dataDxfId="344"/>
    <tableColumn id="8" xr3:uid="{A176E030-CC3C-4BCC-A0FD-2672C0294B69}" name="열1" dataDxfId="343" dataCellStyle="좋음"/>
    <tableColumn id="9" xr3:uid="{D8D5751D-F6BE-4983-B068-8FC0AD4EE30C}" name="홈런볼/길찾" dataDxfId="342"/>
    <tableColumn id="10" xr3:uid="{15F71E0D-8307-4416-8236-CF4770FCCDAE}" name="말차길찾기" dataDxfId="341"/>
    <tableColumn id="25" xr3:uid="{7D453FE3-4929-4284-9F37-FB6A830EB636}" name="버즈빌길" dataDxfId="340"/>
    <tableColumn id="11" xr3:uid="{FD3B5983-DAF7-4575-AEFB-E92C83219150}" name="실블" dataDxfId="339"/>
    <tableColumn id="12" xr3:uid="{F83BD637-EAD3-4E3E-A0E8-99E204835FDA}" name="겟" dataDxfId="338"/>
    <tableColumn id="19" xr3:uid="{6D34A612-90D9-4532-8AD5-7AD5CCD7D2C1}" name="추가" dataDxfId="337"/>
    <tableColumn id="13" xr3:uid="{0792A92A-1556-4A42-BDF0-065D8BE41956}" name="247" dataDxfId="336"/>
    <tableColumn id="14" xr3:uid="{75C17EF3-9330-4B00-828F-610BC7002C6A}" name="비실" dataDxfId="335"/>
    <tableColumn id="15" xr3:uid="{3E2D9186-CD0F-4089-9A9A-7B31FB44DE89}" name="영수증(퍼플)" dataDxfId="334" dataCellStyle="입력"/>
    <tableColumn id="26" xr3:uid="{F914D6E3-223E-4C40-A165-B7D4B62F0707}" name="열7" dataDxfId="333" dataCellStyle="입력"/>
    <tableColumn id="27" xr3:uid="{266676FB-B516-4DBE-A98B-84BE61809D30}" name="열8" dataDxfId="332" dataCellStyle="입력"/>
    <tableColumn id="16" xr3:uid="{3ECF2BBB-E695-4462-B3D8-B0CFCFE7AC1B}" name="영수증(애드)" dataDxfId="331" dataCellStyle="입력"/>
    <tableColumn id="17" xr3:uid="{380DF7C8-A3F0-49B2-AA25-A6E3857787BC}" name="영수증(불곰)" dataDxfId="330" dataCellStyle="입력"/>
    <tableColumn id="20" xr3:uid="{1B664A74-10B8-48F0-A3B3-828131502CED}" name="열2" dataDxfId="329" dataCellStyle="입력"/>
    <tableColumn id="21" xr3:uid="{09ADB4C5-97EB-4703-888C-DEEE31B26BC3}" name="열3" dataDxfId="328" dataCellStyle="입력"/>
    <tableColumn id="2" xr3:uid="{FF7C093E-67F7-40CE-81D8-1BFAB46167C4}" name="입금확인" dataDxfId="327"/>
    <tableColumn id="3" xr3:uid="{69815A99-4455-427C-8635-DE2D18E30D14}" name="저" dataDxfId="326"/>
    <tableColumn id="18" xr3:uid="{E7685C76-AA62-4A88-9FAC-ED3147991D4C}" name="비고" dataDxfId="325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772CB6F-4DD9-4F56-9CFB-51DBC5A8A5B7}" name="표1_345678910111213" displayName="표1_345678910111213" ref="D2:AH101" totalsRowShown="0" headerRowDxfId="324" headerRowBorderDxfId="323">
  <autoFilter ref="D2:AH101" xr:uid="{972324F1-6005-4F17-A31D-57B08393F0A3}"/>
  <tableColumns count="31">
    <tableColumn id="1" xr3:uid="{F3C8F573-C6B6-4C95-BF6B-894F19F1CFA3}" name="매장명" dataDxfId="322"/>
    <tableColumn id="31" xr3:uid="{1BD96141-5E75-4BA1-B59E-775C7BDCB2B9}" name="플레이스url" dataDxfId="321"/>
    <tableColumn id="5" xr3:uid="{181AB3B2-7D66-4318-827C-7AF32CF762A1}" name="피닉스" dataDxfId="320"/>
    <tableColumn id="4" xr3:uid="{514A3C82-3FDA-4D9C-AFC7-845F92A729A2}" name="호올스" dataDxfId="319"/>
    <tableColumn id="6" xr3:uid="{6D915717-4757-4740-B7B4-CE5AFEAAE461}" name="히든" dataDxfId="318"/>
    <tableColumn id="24" xr3:uid="{D82C1151-7530-4783-AFC9-F09C5C48D6CE}" name="엑셀런트" dataDxfId="317"/>
    <tableColumn id="23" xr3:uid="{4809E765-AEBE-4617-BB08-FC53551ACB4D}" name="토스" dataDxfId="316"/>
    <tableColumn id="30" xr3:uid="{56C316DE-0E6F-498A-8B19-08EAC069220B}" name="다타" dataDxfId="315"/>
    <tableColumn id="29" xr3:uid="{56E4BDDC-E327-475C-A5D0-53FA8FCE394A}" name="언더더딜" dataDxfId="314"/>
    <tableColumn id="7" xr3:uid="{6CBD525D-37E6-42C0-83F2-E4296D7CD43B}" name="퍼펙트" dataDxfId="313"/>
    <tableColumn id="22" xr3:uid="{148330B8-A216-40FA-A456-41ED8883B549}" name="버즈빌" dataDxfId="312"/>
    <tableColumn id="28" xr3:uid="{908161C1-8737-4A33-9A9B-32A90083F91E}" name="텐케이" dataDxfId="311"/>
    <tableColumn id="8" xr3:uid="{719CF637-D6D5-4837-B1E1-67F34EA558FF}" name="열1" dataDxfId="310" dataCellStyle="좋음"/>
    <tableColumn id="9" xr3:uid="{0E9D365C-F128-4A9E-8B25-AC5527348A17}" name="홈런볼/길찾" dataDxfId="309"/>
    <tableColumn id="10" xr3:uid="{9B822445-A6CD-4137-9059-C76A966009BA}" name="말차길찾기" dataDxfId="308"/>
    <tableColumn id="25" xr3:uid="{539CE7FD-8B45-43E2-BFC1-63F223576BF2}" name="버즈빌길" dataDxfId="307"/>
    <tableColumn id="11" xr3:uid="{5F3F5CAC-4FE1-4B19-B0E4-3769C49D8E02}" name="실블" dataDxfId="306"/>
    <tableColumn id="12" xr3:uid="{7F23E41E-9938-4F54-B02F-E3768CFBFABA}" name="겟" dataDxfId="305"/>
    <tableColumn id="19" xr3:uid="{7028537D-4067-4F2E-A65C-83B49E705A3E}" name="추가" dataDxfId="304"/>
    <tableColumn id="13" xr3:uid="{8D25234B-39BC-4A4B-8E2B-D9C3D891BE02}" name="247" dataDxfId="303"/>
    <tableColumn id="14" xr3:uid="{80992E5B-66AC-43D7-AF6A-5FAF2DEFD94E}" name="비실" dataDxfId="302"/>
    <tableColumn id="15" xr3:uid="{DB85FC4D-D5EC-4DA8-91BA-8BA7225ACD93}" name="영수증(퍼플)" dataDxfId="301" dataCellStyle="입력"/>
    <tableColumn id="26" xr3:uid="{71AA1744-A713-48F4-BC7B-DC490DC3C7D5}" name="열7" dataDxfId="300" dataCellStyle="입력"/>
    <tableColumn id="27" xr3:uid="{6C8D97E8-A770-40AD-A01A-A49FB580B8B4}" name="열8" dataDxfId="299" dataCellStyle="입력"/>
    <tableColumn id="16" xr3:uid="{97046AFD-76F8-4555-AF16-B5A2B85729E1}" name="영수증(애드)" dataDxfId="298" dataCellStyle="입력"/>
    <tableColumn id="17" xr3:uid="{BBA4259F-40B9-4ECD-AC32-80944E133CE1}" name="영수증(불곰)" dataDxfId="297" dataCellStyle="입력"/>
    <tableColumn id="20" xr3:uid="{F23C9CAF-1273-4CBE-A145-DFFFE6576552}" name="열2" dataDxfId="296" dataCellStyle="입력"/>
    <tableColumn id="21" xr3:uid="{2281E8EE-2016-4CE8-BE6F-D2EDE51A319F}" name="열3" dataDxfId="295" dataCellStyle="입력"/>
    <tableColumn id="2" xr3:uid="{C0CABF2C-119F-4B23-B19F-B44E47C3368C}" name="입금확인" dataDxfId="294"/>
    <tableColumn id="3" xr3:uid="{87206E2C-0EE2-45A2-B785-7E3F5F5123E7}" name="저" dataDxfId="293"/>
    <tableColumn id="18" xr3:uid="{C01E6008-A8F6-47AD-9708-CDDF50EF5C13}" name="비고" dataDxfId="292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53B48E7-411D-4EA1-A6DD-DAA4CB595A85}" name="표1_3456789101112" displayName="표1_3456789101112" ref="D2:AF93" totalsRowShown="0" headerRowDxfId="291" headerRowBorderDxfId="290">
  <autoFilter ref="D2:AF93" xr:uid="{972324F1-6005-4F17-A31D-57B08393F0A3}"/>
  <tableColumns count="29">
    <tableColumn id="1" xr3:uid="{CDF48EE6-7389-4E4D-A4F7-30DCD0F21EA8}" name="매장명" dataDxfId="289"/>
    <tableColumn id="31" xr3:uid="{4905D597-D7EA-4C84-8181-603BD3B1D365}" name="플레이스url" dataDxfId="288"/>
    <tableColumn id="5" xr3:uid="{8ECF9BD3-2697-48B9-9CF4-5F8204D6A7F2}" name="피닉스" dataDxfId="287"/>
    <tableColumn id="4" xr3:uid="{F6FD6468-87E8-4933-8AE6-23FCBC97F461}" name="호올스" dataDxfId="286"/>
    <tableColumn id="6" xr3:uid="{5B7ED425-5B77-45E2-913D-2B453E558004}" name="히든" dataDxfId="285"/>
    <tableColumn id="23" xr3:uid="{B60BC2C8-693E-4194-867A-F7C81C3F1996}" name="토스" dataDxfId="284"/>
    <tableColumn id="30" xr3:uid="{A95241CF-A6B5-4550-858F-1882AF1CD850}" name="다타" dataDxfId="283"/>
    <tableColumn id="29" xr3:uid="{72E3FFE2-BC03-4200-A157-55F838BDECAD}" name="언더더딜" dataDxfId="282"/>
    <tableColumn id="7" xr3:uid="{C6D7EB87-9A93-4AC7-A0AA-0AFE7690F7C9}" name="퍼펙트" dataDxfId="281"/>
    <tableColumn id="22" xr3:uid="{6B8D1A66-5858-41F3-9F1F-B7B31136F6E4}" name="버즈빌" dataDxfId="280"/>
    <tableColumn id="28" xr3:uid="{93C474DE-4725-4953-BD03-0222D9342D27}" name="텐케이" dataDxfId="279"/>
    <tableColumn id="8" xr3:uid="{9909DC7C-2DCB-40AB-ABA1-5F63B34B1053}" name="열1" dataDxfId="278" dataCellStyle="좋음"/>
    <tableColumn id="9" xr3:uid="{098960D5-F8CE-43A6-A1D0-6F160649E83C}" name="홈런볼/길찾" dataDxfId="277"/>
    <tableColumn id="10" xr3:uid="{6CDAA012-6AB0-4AAE-8D7B-EFCC4E1EF529}" name="말차길찾기" dataDxfId="276"/>
    <tableColumn id="11" xr3:uid="{88437BB1-E5E6-4F7E-843C-31672C9B2C31}" name="실블" dataDxfId="275"/>
    <tableColumn id="12" xr3:uid="{74829E19-0A4F-42B6-949B-F400416C5778}" name="겟" dataDxfId="274"/>
    <tableColumn id="19" xr3:uid="{C6C48FEE-9D66-4570-86B2-3ACE751449C7}" name="추가" dataDxfId="273"/>
    <tableColumn id="13" xr3:uid="{8A6EB0CE-426F-4F49-8E45-9478C7D1E072}" name="247" dataDxfId="272"/>
    <tableColumn id="14" xr3:uid="{84F7F11F-5B70-4068-B483-1C27D7DF0266}" name="비실" dataDxfId="271"/>
    <tableColumn id="15" xr3:uid="{7B8BFBE6-5A31-41EF-81F6-CC56967F127A}" name="영수증(퍼플)" dataDxfId="270" dataCellStyle="입력"/>
    <tableColumn id="26" xr3:uid="{0B816657-D40B-4CEB-B364-255445094D55}" name="열7" dataDxfId="269" dataCellStyle="입력"/>
    <tableColumn id="27" xr3:uid="{BE12A21C-0EB1-412C-B34A-F53B4E7181C5}" name="열8" dataDxfId="268" dataCellStyle="입력"/>
    <tableColumn id="16" xr3:uid="{2F86EA67-E69F-489A-9BC7-60DB9D085265}" name="영수증(애드)" dataDxfId="267" dataCellStyle="입력"/>
    <tableColumn id="17" xr3:uid="{7739876E-EB9A-4064-A6E7-54AACEF78198}" name="영수증(불곰)" dataDxfId="266" dataCellStyle="입력"/>
    <tableColumn id="20" xr3:uid="{EB77E4CE-8765-4823-B450-1BD372D6BD52}" name="열2" dataDxfId="265" dataCellStyle="입력"/>
    <tableColumn id="21" xr3:uid="{D02B9C61-BD0F-4C17-8A19-B78F2A83881D}" name="열3" dataDxfId="264" dataCellStyle="입력"/>
    <tableColumn id="2" xr3:uid="{130805DD-00A5-4D91-832D-AEA373ACC76B}" name="입금확인" dataDxfId="263"/>
    <tableColumn id="3" xr3:uid="{8D5B698E-A860-4CFC-9D9F-77AA16C2034B}" name="저" dataDxfId="262"/>
    <tableColumn id="18" xr3:uid="{080B0472-EC6E-4D0E-8E3D-50FF02BDC715}" name="비고" dataDxfId="261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B9E6236-7793-4BA3-965A-695EA4964007}" name="표1_34567891011" displayName="표1_34567891011" ref="D2:AF104" totalsRowShown="0" headerRowDxfId="260" headerRowBorderDxfId="259">
  <autoFilter ref="D2:AF104" xr:uid="{972324F1-6005-4F17-A31D-57B08393F0A3}"/>
  <tableColumns count="29">
    <tableColumn id="1" xr3:uid="{6B6E9791-12D2-44A5-A83E-0D9A70C75089}" name="매장명" dataDxfId="258"/>
    <tableColumn id="31" xr3:uid="{2355BE4A-3276-418C-B9D6-B1703E7D775B}" name="플레이스url" dataDxfId="257"/>
    <tableColumn id="5" xr3:uid="{AE9FD786-389A-44DB-9213-1EE7A186BDEB}" name="피닉스" dataDxfId="256"/>
    <tableColumn id="4" xr3:uid="{11B3C045-F6F5-4FDB-88F2-56DE92A59482}" name="호올스" dataDxfId="255"/>
    <tableColumn id="6" xr3:uid="{AB1EF082-C226-4F2E-AB49-62B6CA39405D}" name="히든" dataDxfId="254"/>
    <tableColumn id="23" xr3:uid="{97D8C531-5CFF-4A51-862F-A4E0705EDADD}" name="토스" dataDxfId="253"/>
    <tableColumn id="30" xr3:uid="{352D0D72-00C4-4875-ABA2-CFD9C3C272B1}" name="다타" dataDxfId="252"/>
    <tableColumn id="29" xr3:uid="{075FAC87-5D34-4D36-8D6A-64E1ABF1CF2C}" name="언더더딜" dataDxfId="251"/>
    <tableColumn id="7" xr3:uid="{0DB9F04A-B4A5-400D-A241-063583DB8642}" name="퍼펙트" dataDxfId="250"/>
    <tableColumn id="22" xr3:uid="{0F01A500-7A60-404D-B9D3-CE8EF0F9C9F1}" name="버즈빌" dataDxfId="249"/>
    <tableColumn id="28" xr3:uid="{8061B47E-B935-4770-8472-26E92C97BB5B}" name="텐케이" dataDxfId="248"/>
    <tableColumn id="8" xr3:uid="{4D018C2E-8F54-4648-AC58-A96117BDFAA6}" name="열1" dataDxfId="247" dataCellStyle="좋음"/>
    <tableColumn id="9" xr3:uid="{B544BC5D-9D37-40CF-9817-F4A48D470AA1}" name="홈런볼/길찾" dataDxfId="246"/>
    <tableColumn id="10" xr3:uid="{08E64326-4013-4A5E-8C02-A3AFD3EFCA63}" name="말차길찾기" dataDxfId="245"/>
    <tableColumn id="11" xr3:uid="{F7D8C295-B3F5-4BB7-9B85-4AF554D3D840}" name="실블" dataDxfId="244"/>
    <tableColumn id="12" xr3:uid="{8F9B3CC3-D2A0-4452-8E22-F56ECE2B6A79}" name="겟" dataDxfId="243"/>
    <tableColumn id="19" xr3:uid="{FF51E777-D2F3-453A-B044-BA8A7E6A69A8}" name="추가" dataDxfId="242"/>
    <tableColumn id="13" xr3:uid="{3CB3EA6C-F390-4ED6-87E1-2877D0DB16ED}" name="247" dataDxfId="241"/>
    <tableColumn id="14" xr3:uid="{E6212F32-013C-4736-867F-89158C4B4056}" name="비실" dataDxfId="240"/>
    <tableColumn id="15" xr3:uid="{9D09C791-9459-4D01-9EA6-9EDD19341E0B}" name="영수증(퍼플)" dataDxfId="239" dataCellStyle="입력"/>
    <tableColumn id="26" xr3:uid="{9F185550-0C24-490F-99FB-7726D3AF7F56}" name="열7" dataDxfId="238" dataCellStyle="입력"/>
    <tableColumn id="27" xr3:uid="{87E7D212-64B9-4347-9642-F0FC8D134ADF}" name="열8" dataDxfId="237" dataCellStyle="입력"/>
    <tableColumn id="16" xr3:uid="{BE69DDDE-17D8-45A6-B6E1-41ECDA9CDD43}" name="영수증(애드)" dataDxfId="236" dataCellStyle="입력"/>
    <tableColumn id="17" xr3:uid="{61554531-8371-48C4-B1AD-8C9F8A0EE5DD}" name="영수증(불곰)" dataDxfId="235" dataCellStyle="입력"/>
    <tableColumn id="20" xr3:uid="{0F56DF2C-57B0-47DF-AA7D-0A1AF5DD6BDE}" name="열2" dataDxfId="234" dataCellStyle="입력"/>
    <tableColumn id="21" xr3:uid="{EC18C677-DA86-4183-BEA6-267FA69435A3}" name="열3" dataDxfId="233" dataCellStyle="입력"/>
    <tableColumn id="2" xr3:uid="{B36E21A8-FC70-4B37-B20C-0BC7A6D05100}" name="입금확인" dataDxfId="232"/>
    <tableColumn id="3" xr3:uid="{083F839B-FBC8-45EA-B8F3-8A0ED4A8F40C}" name="저" dataDxfId="231"/>
    <tableColumn id="18" xr3:uid="{4BE3E189-56BF-46BD-B34E-AF26C4A5D309}" name="비고" dataDxfId="230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708C47-D0BD-48A7-B291-48637DE2C239}" name="표1_345678910" displayName="표1_345678910" ref="D2:AE92" totalsRowShown="0" headerRowDxfId="229" headerRowBorderDxfId="228">
  <autoFilter ref="D2:AE92" xr:uid="{972324F1-6005-4F17-A31D-57B08393F0A3}"/>
  <tableColumns count="28">
    <tableColumn id="1" xr3:uid="{7FD0DDF1-BF07-439C-9867-C36F99528596}" name="매장명" dataDxfId="227"/>
    <tableColumn id="31" xr3:uid="{F976DCA4-A646-46AE-9F2B-ED0997E3048C}" name="플레이스url" dataDxfId="226"/>
    <tableColumn id="5" xr3:uid="{421CC737-303E-41BB-981D-9F4AE7DE8E1B}" name="피닉스" dataDxfId="225"/>
    <tableColumn id="4" xr3:uid="{08B53B7C-6337-49D4-9C54-C33D0B8DE852}" name="호올스" dataDxfId="224"/>
    <tableColumn id="6" xr3:uid="{0CBAF155-1B92-491C-9881-9B41F121DF2E}" name="히든" dataDxfId="223"/>
    <tableColumn id="30" xr3:uid="{FD4D9B8C-888F-4382-8F37-91C4ACBA2E8F}" name="다타" dataDxfId="222"/>
    <tableColumn id="29" xr3:uid="{F6290580-3DE7-4B43-B526-B83E99F58F04}" name="언더더딜" dataDxfId="221"/>
    <tableColumn id="7" xr3:uid="{C768E003-5116-40F1-85F7-A1E54338E083}" name="퍼펙트" dataDxfId="220"/>
    <tableColumn id="22" xr3:uid="{28A7ADC9-7577-4A0B-B418-A20BBD18C30E}" name="버즈빌" dataDxfId="219"/>
    <tableColumn id="28" xr3:uid="{16C43EF3-57C1-4E0D-92F5-2F8BB926E2C5}" name="텐케이" dataDxfId="218"/>
    <tableColumn id="8" xr3:uid="{3F5306FD-B229-43DC-970A-232C22E29DDE}" name="열1" dataDxfId="217" dataCellStyle="좋음"/>
    <tableColumn id="9" xr3:uid="{DF4E2E57-CF2B-4C03-ABFE-91F1563879F8}" name="홈런볼/길찾" dataDxfId="216"/>
    <tableColumn id="10" xr3:uid="{D5E10EE7-5905-4097-B985-B5113B79C864}" name="말차길찾기" dataDxfId="215"/>
    <tableColumn id="11" xr3:uid="{6C0DC2B1-38CA-4A25-B291-7C41AF287563}" name="실블" dataDxfId="214"/>
    <tableColumn id="12" xr3:uid="{B76C0232-1CEB-4768-8F01-EA3814BA38C0}" name="겟" dataDxfId="213"/>
    <tableColumn id="19" xr3:uid="{F1FC8E6B-B02A-441D-B590-F16561DC56E2}" name="추가" dataDxfId="212"/>
    <tableColumn id="13" xr3:uid="{19FD2F1F-35AC-4D11-A576-2EB0088864FC}" name="247" dataDxfId="211"/>
    <tableColumn id="14" xr3:uid="{CE07B0B8-369C-46DD-B120-4BAC0EB4FCF8}" name="비실" dataDxfId="210"/>
    <tableColumn id="15" xr3:uid="{36F471BC-342F-4324-A0F4-53BB3AD1BDF7}" name="영수증(퍼플)" dataDxfId="209" dataCellStyle="입력"/>
    <tableColumn id="26" xr3:uid="{6A4490E6-4785-4665-AABD-0FD76E58086C}" name="열7" dataDxfId="208" dataCellStyle="입력"/>
    <tableColumn id="27" xr3:uid="{FCC0B5C6-C3D3-4AFD-A25B-3B91EF04BA14}" name="열8" dataDxfId="207" dataCellStyle="입력"/>
    <tableColumn id="16" xr3:uid="{C7E325AE-5526-4003-BC51-9B27E981E622}" name="영수증(애드)" dataDxfId="206" dataCellStyle="입력"/>
    <tableColumn id="17" xr3:uid="{533AD367-9663-4ED6-A492-7247AE26042A}" name="영수증(불곰)" dataDxfId="205" dataCellStyle="입력"/>
    <tableColumn id="20" xr3:uid="{EE94B5EE-DF18-4C18-8AE6-5023447BE9C6}" name="열2" dataDxfId="204" dataCellStyle="입력"/>
    <tableColumn id="21" xr3:uid="{44C18E19-AAFD-4516-83D9-698A259FAFB5}" name="열3" dataDxfId="203" dataCellStyle="입력"/>
    <tableColumn id="2" xr3:uid="{0CEC7A8E-766F-4DA1-BAEE-AF24C8C0F3E7}" name="입금확인" dataDxfId="202"/>
    <tableColumn id="3" xr3:uid="{C2542815-7373-46DE-82D6-0DDEC2F46189}" name="저" dataDxfId="201"/>
    <tableColumn id="18" xr3:uid="{F8A3F025-BF5C-4FD6-B107-7A516BF6F41F}" name="비고" dataDxfId="200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5EF390-DD14-47CD-B6D1-B1CDE83A63C9}" name="표1_3456789" displayName="표1_3456789" ref="E3:AH86" totalsRowShown="0" headerRowDxfId="199" headerRowBorderDxfId="198">
  <autoFilter ref="E3:AH86" xr:uid="{972324F1-6005-4F17-A31D-57B08393F0A3}"/>
  <tableColumns count="30">
    <tableColumn id="1" xr3:uid="{DE7F71FA-6ED4-4078-B5A2-2172C0D1E131}" name="매장명" dataDxfId="197"/>
    <tableColumn id="31" xr3:uid="{B71AF6D7-6BFB-405E-A250-731C39BD848F}" name="플레이스url" dataDxfId="196"/>
    <tableColumn id="32" xr3:uid="{F33EE4C7-1158-443D-BF82-142C5378FCD1}" name="mid" dataDxfId="195"/>
    <tableColumn id="4" xr3:uid="{6BDFCDC0-62DB-48CB-B19D-F6E9F678B5F3}" name="호올스" dataDxfId="194"/>
    <tableColumn id="5" xr3:uid="{A7982E21-9467-43A3-93E5-1A8974F44D1A}" name="홀스자동" dataDxfId="193"/>
    <tableColumn id="6" xr3:uid="{1B16FFFF-90FA-4384-9D24-B81615D3A78C}" name="히든" dataDxfId="192"/>
    <tableColumn id="7" xr3:uid="{FD9BA240-215F-444B-86E4-19C483D61C1B}" name="퍼펙트" dataDxfId="191"/>
    <tableColumn id="22" xr3:uid="{3419E694-90EB-4594-A0C6-8B1E1EC64DD2}" name="버즈빌" dataDxfId="190"/>
    <tableColumn id="28" xr3:uid="{1EB36281-C562-4A82-BA19-0FE0F783A085}" name="텐케이" dataDxfId="189"/>
    <tableColumn id="8" xr3:uid="{6EE08794-46BD-49A8-A2BF-77044AACA467}" name="열1" dataDxfId="188" dataCellStyle="좋음"/>
    <tableColumn id="9" xr3:uid="{B1FE620C-DBFC-4D0A-BEB0-8B7CDBF32AA8}" name="홈런볼/길찾" dataDxfId="187"/>
    <tableColumn id="10" xr3:uid="{1DDE2CCE-ADAF-4568-9FEA-42B5DF1F005A}" name="말차길찾기" dataDxfId="186"/>
    <tableColumn id="11" xr3:uid="{5AE07536-168B-4BDB-924D-D8578E18FF3D}" name="실블" dataDxfId="185"/>
    <tableColumn id="12" xr3:uid="{E24C07DF-8813-42AD-82F9-31FD97EB462B}" name="겟" dataDxfId="184"/>
    <tableColumn id="19" xr3:uid="{ABEA6F5A-E5E5-49C8-A7B0-50B36016307F}" name="추가" dataDxfId="183"/>
    <tableColumn id="13" xr3:uid="{F708E12C-997B-4F42-9C2A-76AF0D70D15E}" name="247" dataDxfId="182"/>
    <tableColumn id="14" xr3:uid="{10F4F7B2-DCDE-4112-8698-68AA4E12BF56}" name="비실" dataDxfId="181"/>
    <tableColumn id="23" xr3:uid="{EAAEEF05-91F1-42CA-8319-A87B979CBDD7}" name="열4" dataDxfId="180"/>
    <tableColumn id="24" xr3:uid="{2C797181-A376-4F0F-A22B-DF8C1D3599E1}" name="열5" dataDxfId="179"/>
    <tableColumn id="25" xr3:uid="{82737687-6EE7-4E34-97A6-4A0819A4E89B}" name="열6" dataDxfId="178"/>
    <tableColumn id="15" xr3:uid="{2E55709E-B286-4939-9F18-B3A81C558034}" name="영수증(퍼플)" dataDxfId="177" dataCellStyle="입력"/>
    <tableColumn id="26" xr3:uid="{8F0A2701-75CA-4CE3-8E16-F1F4AD79425E}" name="열7" dataDxfId="176" dataCellStyle="입력"/>
    <tableColumn id="27" xr3:uid="{107C1951-8A60-4531-9A77-256619D67A84}" name="열8" dataDxfId="175" dataCellStyle="입력"/>
    <tableColumn id="16" xr3:uid="{5532FDC3-F982-4D0B-876E-CD0355C14EF2}" name="영수증(애드)" dataDxfId="174" dataCellStyle="입력"/>
    <tableColumn id="17" xr3:uid="{F19E7A66-6ED6-4BE9-A1F9-DCE48682D7AC}" name="영수증(불곰)" dataDxfId="173" dataCellStyle="입력"/>
    <tableColumn id="20" xr3:uid="{26AC3617-5FCF-4B6E-9B69-E9605C13AA79}" name="열2" dataDxfId="172" dataCellStyle="입력"/>
    <tableColumn id="21" xr3:uid="{190D7746-F799-49DD-8D12-FDDCCB1BD70F}" name="열3" dataDxfId="171" dataCellStyle="입력"/>
    <tableColumn id="2" xr3:uid="{F34035D4-B257-4430-81C8-000EF77459CF}" name="입금확인" dataDxfId="170"/>
    <tableColumn id="3" xr3:uid="{938FD1A2-1E40-4C1D-ADE4-ADBA9E56882B}" name="저" dataDxfId="169"/>
    <tableColumn id="18" xr3:uid="{1AAD1A20-DD15-4F96-924E-E01C83DBDED3}" name="비고" dataDxfId="168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57B4CD-83A1-4AF6-AB47-5B2D97A6DD61}" name="표1_345678" displayName="표1_345678" ref="E3:AH97" totalsRowShown="0" headerRowDxfId="167" headerRowBorderDxfId="166">
  <autoFilter ref="E3:AH97" xr:uid="{972324F1-6005-4F17-A31D-57B08393F0A3}"/>
  <tableColumns count="30">
    <tableColumn id="1" xr3:uid="{FEFD9608-AB67-4794-AEE1-D4944F23A2DD}" name="매장명" dataDxfId="165"/>
    <tableColumn id="31" xr3:uid="{93189179-C7F8-4E26-A43B-9AD57F8790D7}" name="플레이스url" dataDxfId="164"/>
    <tableColumn id="32" xr3:uid="{BF0C464F-7967-435A-A85B-BA57D7A3B503}" name="mid" dataDxfId="163"/>
    <tableColumn id="4" xr3:uid="{AE13035D-701D-4BA4-8AC4-E9EE03171A88}" name="호올스" dataDxfId="162"/>
    <tableColumn id="5" xr3:uid="{922365B4-2D4A-49E3-8A9A-9933C5209577}" name="열1" dataDxfId="161"/>
    <tableColumn id="6" xr3:uid="{B0CE59FF-D982-414A-8815-B68C3B9B7146}" name="투플" dataDxfId="160"/>
    <tableColumn id="7" xr3:uid="{F5D07EB0-76A9-43E8-8497-0FE750279DC3}" name="투플프로" dataDxfId="159"/>
    <tableColumn id="22" xr3:uid="{D8CB00F4-A0DF-42C0-AA50-89E62C961076}" name="버즈빌" dataDxfId="158"/>
    <tableColumn id="28" xr3:uid="{910FCA91-F917-44BF-B352-781DD25E4A73}" name="텐케이" dataDxfId="157"/>
    <tableColumn id="8" xr3:uid="{488B8016-120B-4216-AA1F-74422B950CEF}" name="베이직" dataDxfId="156" dataCellStyle="좋음"/>
    <tableColumn id="9" xr3:uid="{F8DE4584-52A9-46F5-9662-5F3104F3B11A}" name="홈런볼/길찾" dataDxfId="155"/>
    <tableColumn id="10" xr3:uid="{C7E471A8-9568-4F2F-980E-7930F758CF04}" name="말차길찾기" dataDxfId="154"/>
    <tableColumn id="11" xr3:uid="{9DBC6814-1594-42BC-BAF7-698AB8102DF8}" name="실블" dataDxfId="153"/>
    <tableColumn id="12" xr3:uid="{472CDF53-88B2-4CDF-83B2-093CC490C726}" name="겟" dataDxfId="152"/>
    <tableColumn id="19" xr3:uid="{945425E6-3475-47D7-A5B5-2583504CFEB7}" name="추가" dataDxfId="151"/>
    <tableColumn id="13" xr3:uid="{83F61FB0-A3EE-43A0-B0C0-9980D1137F92}" name="247" dataDxfId="150"/>
    <tableColumn id="14" xr3:uid="{9D74CBAC-9783-4C58-AB90-D9AA112EA918}" name="비실" dataDxfId="149"/>
    <tableColumn id="23" xr3:uid="{631ECD61-2423-4B27-9A9E-31289A6CFD3A}" name="열4" dataDxfId="148"/>
    <tableColumn id="24" xr3:uid="{C454C631-A586-4AD2-8294-6EE03824AE69}" name="열5" dataDxfId="147"/>
    <tableColumn id="25" xr3:uid="{36F6033D-5FE2-4256-9584-9736F1DC4D05}" name="열6" dataDxfId="146"/>
    <tableColumn id="15" xr3:uid="{4F03EE2C-463B-4CC0-B7A8-533FD9BAFCB5}" name="영수증(퍼플)" dataDxfId="145" dataCellStyle="입력"/>
    <tableColumn id="26" xr3:uid="{860B3C6F-AEBC-42C1-9B2F-681BDFD97E14}" name="열7" dataDxfId="144" dataCellStyle="입력"/>
    <tableColumn id="27" xr3:uid="{3518BAF6-5495-41FE-B70F-0520A93CF299}" name="열8" dataDxfId="143" dataCellStyle="입력"/>
    <tableColumn id="16" xr3:uid="{9790F674-EAA1-4DB3-83EB-35A40AD09C33}" name="영수증(애드)" dataDxfId="142" dataCellStyle="입력"/>
    <tableColumn id="17" xr3:uid="{D63DE8A0-960C-4574-B208-E44794206CE1}" name="영수증(불곰)" dataDxfId="141" dataCellStyle="입력"/>
    <tableColumn id="20" xr3:uid="{3D0CD162-0FC1-42EB-9E96-39F40E6319BC}" name="열2" dataDxfId="140" dataCellStyle="입력"/>
    <tableColumn id="21" xr3:uid="{5F1A943F-9759-4748-BC84-A0005F7639C6}" name="열3" dataDxfId="139" dataCellStyle="입력"/>
    <tableColumn id="2" xr3:uid="{B6BA7FCA-78B5-4B26-9984-035995DD363A}" name="입금확인" dataDxfId="138"/>
    <tableColumn id="3" xr3:uid="{008EE4C0-7CF6-46C2-BA05-E6ADD9260925}" name="저" dataDxfId="137"/>
    <tableColumn id="18" xr3:uid="{FBB04D78-2961-498C-9230-751BD81FBF3F}" name="비고" dataDxfId="136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4E51BC-1494-44EB-AEEA-25078227A822}" name="표1_34567" displayName="표1_34567" ref="E3:AH84" totalsRowShown="0" headerRowDxfId="135" headerRowBorderDxfId="134">
  <autoFilter ref="E3:AH84" xr:uid="{972324F1-6005-4F17-A31D-57B08393F0A3}"/>
  <tableColumns count="30">
    <tableColumn id="1" xr3:uid="{4E5F72ED-BA3C-463A-BB4D-411AF290F264}" name="매장명" dataDxfId="133"/>
    <tableColumn id="31" xr3:uid="{000D811C-6BC7-4859-B276-14491788FF3E}" name="플레이스url" dataDxfId="132"/>
    <tableColumn id="32" xr3:uid="{DB91C015-ED21-4486-A87D-5D430B44176B}" name="mid" dataDxfId="131"/>
    <tableColumn id="4" xr3:uid="{D329F83C-1F02-4CB7-904C-BE3B7F596E7C}" name="호올스" dataDxfId="130"/>
    <tableColumn id="5" xr3:uid="{C069E07B-CAE5-4476-9C79-2B721AFC9B48}" name="말차" dataDxfId="129"/>
    <tableColumn id="6" xr3:uid="{A4170AE0-736B-4E49-B2EF-7E5C0DF32E99}" name="투플" dataDxfId="128"/>
    <tableColumn id="7" xr3:uid="{185A9C09-1004-4F11-BF77-C1F171AA521C}" name="투플프로" dataDxfId="127"/>
    <tableColumn id="22" xr3:uid="{AB13A270-CB01-4C59-8ECC-4CED2BF70951}" name="버즈빌" dataDxfId="126"/>
    <tableColumn id="28" xr3:uid="{A54AF592-1520-46D7-8B2B-A75BD100736D}" name="텐케이" dataDxfId="125"/>
    <tableColumn id="8" xr3:uid="{7E8E47C4-0671-4C80-8F5F-1F44748E6309}" name="베이직" dataDxfId="124" dataCellStyle="좋음"/>
    <tableColumn id="9" xr3:uid="{2E6B5263-2A98-4967-AF2A-B375E67306F6}" name="홈런볼/길찾" dataDxfId="123"/>
    <tableColumn id="10" xr3:uid="{9382ADBA-39E8-4945-ACAA-A0AB47E1AE70}" name="말차길찾기" dataDxfId="122"/>
    <tableColumn id="11" xr3:uid="{1430ADF2-40BA-43C5-98C7-14A443A780F7}" name="실블" dataDxfId="121"/>
    <tableColumn id="12" xr3:uid="{9F18C602-2A5E-433E-8103-FDCDC43CFD96}" name="겟" dataDxfId="120"/>
    <tableColumn id="19" xr3:uid="{1E62D9FF-BFD4-4675-9962-53F7EFEB8735}" name="추가" dataDxfId="119"/>
    <tableColumn id="13" xr3:uid="{B8B15CC8-DF45-46D7-B182-D4939CB50B47}" name="247" dataDxfId="118"/>
    <tableColumn id="14" xr3:uid="{2240E064-6476-4872-8913-AC2C32D13848}" name="비실" dataDxfId="117"/>
    <tableColumn id="23" xr3:uid="{6948DBF1-E656-4C44-A188-64972BD498A1}" name="열4" dataDxfId="116"/>
    <tableColumn id="24" xr3:uid="{78CFED66-C888-45F7-968A-55275C43D991}" name="열5" dataDxfId="115"/>
    <tableColumn id="25" xr3:uid="{F1A871F3-54D6-47B8-95F4-3ACB43EDDFED}" name="열6" dataDxfId="114"/>
    <tableColumn id="15" xr3:uid="{0D370F2A-E0FA-4DCC-9A41-0808A9804DA9}" name="영수증(퍼플)" dataDxfId="113" dataCellStyle="입력"/>
    <tableColumn id="26" xr3:uid="{0D707D76-7210-41F1-90E4-4B9408FBD320}" name="열7" dataDxfId="112" dataCellStyle="입력"/>
    <tableColumn id="27" xr3:uid="{DCAC1C65-901C-42A2-99CE-D7E7A86C3EDD}" name="열8" dataDxfId="111" dataCellStyle="입력"/>
    <tableColumn id="16" xr3:uid="{F2843E2B-7496-43FD-B087-1D5469A291E1}" name="영수증(애드)" dataDxfId="110" dataCellStyle="입력"/>
    <tableColumn id="17" xr3:uid="{CAC98570-B3F6-475F-B861-D3A61B8308EE}" name="영수증(불곰)" dataDxfId="109" dataCellStyle="입력"/>
    <tableColumn id="20" xr3:uid="{72F2AAC0-E889-4DC9-A02E-5E47B00832A3}" name="열2" dataDxfId="108" dataCellStyle="입력"/>
    <tableColumn id="21" xr3:uid="{EDAACEB7-5359-45F5-BC9E-524140B21427}" name="열3" dataDxfId="107" dataCellStyle="입력"/>
    <tableColumn id="2" xr3:uid="{77836FDD-EB6C-4CCE-B516-F78C5D5617B5}" name="입금확인" dataDxfId="106"/>
    <tableColumn id="3" xr3:uid="{E4894C80-0112-4A78-B32D-1D2D519FF01D}" name="저" dataDxfId="105"/>
    <tableColumn id="18" xr3:uid="{50039175-1D39-44A4-B838-E2E4DB3782C9}" name="비고" dataDxfId="104"/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A6AEB2-2A77-4E1F-B482-0379A168CB7D}" name="표1_3456" displayName="표1_3456" ref="G3:AA83" totalsRowShown="0" headerRowDxfId="103" headerRowBorderDxfId="102">
  <autoFilter ref="G3:AA83" xr:uid="{972324F1-6005-4F17-A31D-57B08393F0A3}"/>
  <tableColumns count="21">
    <tableColumn id="1" xr3:uid="{A874699E-DC65-4DE3-B799-97DB4C354437}" name="매장명" dataDxfId="101"/>
    <tableColumn id="20" xr3:uid="{47A723E4-AFD9-484F-B2C1-589113580FDE}" name="열2" dataDxfId="100"/>
    <tableColumn id="21" xr3:uid="{A7E4F720-6906-42C6-AEA2-546930FA3B03}" name="열3" dataDxfId="99"/>
    <tableColumn id="4" xr3:uid="{41535E62-F931-4D5F-B1FF-1C55B5F10E6F}" name="호올스" dataDxfId="98"/>
    <tableColumn id="5" xr3:uid="{2FDE8838-6ED1-4A0E-9153-13CF0AF824D1}" name="열1" dataDxfId="97"/>
    <tableColumn id="6" xr3:uid="{538F3747-43C6-482D-A7C6-9CE019C6DFD4}" name="투플" dataDxfId="96"/>
    <tableColumn id="7" xr3:uid="{18FADCDC-D594-4DD1-A18A-01221B0C75D4}" name="투플프로" dataDxfId="95"/>
    <tableColumn id="8" xr3:uid="{A0590C48-CF03-4C67-A10A-0570273C6EEB}" name="베이직" dataDxfId="94" dataCellStyle="좋음"/>
    <tableColumn id="9" xr3:uid="{E5AF84D2-F8C1-4427-8B08-59E345235978}" name="홈런볼/길찾" dataDxfId="93"/>
    <tableColumn id="10" xr3:uid="{C97A88E1-FD3E-46AD-9B72-2D84177C5E32}" name="말차길찾기" dataDxfId="92"/>
    <tableColumn id="11" xr3:uid="{4A40EE63-E28F-4AE0-B718-414AFA093B46}" name="실블" dataDxfId="91"/>
    <tableColumn id="12" xr3:uid="{48571F88-E4DC-4446-98E4-7CE23C7C58AC}" name="겟" dataDxfId="90"/>
    <tableColumn id="19" xr3:uid="{D2029F04-D5CC-44AE-B950-54FF9DA531BE}" name="추가" dataDxfId="89"/>
    <tableColumn id="13" xr3:uid="{5F7D1F31-6355-4E55-8BCE-6D1EB63062B4}" name="247" dataDxfId="88"/>
    <tableColumn id="14" xr3:uid="{9395E71E-31A7-40AC-B25F-A7F040863DD3}" name="비실" dataDxfId="87"/>
    <tableColumn id="15" xr3:uid="{74314DB5-5144-4B18-8113-00547576FF38}" name="영수증(퍼플)" dataDxfId="86" dataCellStyle="입력"/>
    <tableColumn id="16" xr3:uid="{172AB53A-00D7-4624-A32D-84E9B1E5CEDF}" name="영수증(애드)" dataDxfId="85" dataCellStyle="입력"/>
    <tableColumn id="17" xr3:uid="{2D8D6979-FF75-4982-87FB-16F0795AA853}" name="영수증(불곰)" dataDxfId="84" dataCellStyle="입력"/>
    <tableColumn id="2" xr3:uid="{D4D65540-9433-404E-9D41-7E08C69964B5}" name="입금확인" dataDxfId="83"/>
    <tableColumn id="3" xr3:uid="{ABD1E065-C6CC-4BAC-B660-7992A8177C2D}" name="저" dataDxfId="82"/>
    <tableColumn id="18" xr3:uid="{A2DA7B76-B9D5-40D4-BB99-C03098A057BE}" name="비고" dataDxfId="81"/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674322-4393-4D43-98B1-505F0412037B}" name="표1_345" displayName="표1_345" ref="G3:Y77" totalsRowShown="0" headerRowDxfId="80" headerRowBorderDxfId="79">
  <autoFilter ref="G3:Y77" xr:uid="{972324F1-6005-4F17-A31D-57B08393F0A3}"/>
  <tableColumns count="19">
    <tableColumn id="1" xr3:uid="{CD2D4DA7-1005-405F-B4C0-C7576C2599B1}" name="매장명" dataDxfId="78"/>
    <tableColumn id="4" xr3:uid="{B8312BFC-4522-4BFE-B150-BB92F1FC2544}" name="호올스" dataDxfId="77"/>
    <tableColumn id="5" xr3:uid="{04026418-F0B6-4C5B-BCEB-570AAABB9F2E}" name="열1" dataDxfId="76"/>
    <tableColumn id="6" xr3:uid="{799D56D8-E8B6-468B-9584-5409FCEABD83}" name="투플" dataDxfId="75"/>
    <tableColumn id="7" xr3:uid="{B1FA1D5A-0CE7-4817-BDA9-B54285BE4212}" name="투플프로" dataDxfId="74"/>
    <tableColumn id="8" xr3:uid="{6DAEAD88-8CC4-46B5-B17B-2C09595921F2}" name="베이직" dataDxfId="73" dataCellStyle="좋음"/>
    <tableColumn id="9" xr3:uid="{BDB2F443-B325-4246-B2D3-2725979E1424}" name="홈런볼/길찾" dataDxfId="72"/>
    <tableColumn id="10" xr3:uid="{5B0B49F2-5D50-4B70-B049-89C449471F32}" name="말차길찾기" dataDxfId="71"/>
    <tableColumn id="11" xr3:uid="{868A5D59-4EA9-4F75-A019-41EE4856D51C}" name="실블" dataDxfId="70"/>
    <tableColumn id="12" xr3:uid="{986E8599-09D7-4035-9A70-F7D21F516BB2}" name="겟" dataDxfId="69"/>
    <tableColumn id="19" xr3:uid="{BC70F7CB-4005-44FB-AA48-59D6EF52DF2C}" name="추가" dataDxfId="68"/>
    <tableColumn id="13" xr3:uid="{A631BB3D-7EC4-47A8-B7FD-178C358028FF}" name="247" dataDxfId="67"/>
    <tableColumn id="14" xr3:uid="{113DE8A6-672E-4C75-B52B-F839D7B0CC41}" name="비실" dataDxfId="66"/>
    <tableColumn id="15" xr3:uid="{CB15B616-550C-41EA-A175-13D6ABC597BA}" name="영수증(퍼플)" dataDxfId="65" dataCellStyle="입력"/>
    <tableColumn id="16" xr3:uid="{EF92C5D5-ABD9-46D2-8E07-5D3EA69B3024}" name="영수증(애드)" dataDxfId="64" dataCellStyle="입력"/>
    <tableColumn id="17" xr3:uid="{E637AC2F-9C11-4ECB-B5FD-80BD28B984FA}" name="영수증(불곰)" dataDxfId="63" dataCellStyle="입력"/>
    <tableColumn id="2" xr3:uid="{057AF145-4C0B-421A-8721-71E908C35C27}" name="입금확인" dataDxfId="62"/>
    <tableColumn id="3" xr3:uid="{DC57A5AA-A142-4B31-AFE9-3621B3796B7C}" name="저" dataDxfId="61"/>
    <tableColumn id="18" xr3:uid="{BA7A79F6-5750-4E88-B2E5-E87F611DC950}" name="비고" dataDxfId="60"/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6D6BE8-628F-423F-839B-E819CC9EDACE}" name="표1_34" displayName="표1_34" ref="G3:X77" totalsRowShown="0" headerRowDxfId="59" headerRowBorderDxfId="58">
  <autoFilter ref="G3:X77" xr:uid="{972324F1-6005-4F17-A31D-57B08393F0A3}"/>
  <tableColumns count="18">
    <tableColumn id="1" xr3:uid="{C049D1F9-E3F2-44F0-85D1-58C21B4D4FCB}" name="매장명" dataDxfId="57"/>
    <tableColumn id="4" xr3:uid="{73366FD3-60C9-4305-A25D-0893E096D1C8}" name="호올스" dataDxfId="56"/>
    <tableColumn id="5" xr3:uid="{1D487C0F-DCF1-47EC-A7B4-16CAACD95037}" name="열1" dataDxfId="55"/>
    <tableColumn id="6" xr3:uid="{752C4F9C-DE8E-4FD7-B422-849C77B7FC7A}" name="투플" dataDxfId="54"/>
    <tableColumn id="7" xr3:uid="{8446AB3E-83AC-4748-A85F-73CAF8EEEF3E}" name="투플프로" dataDxfId="53"/>
    <tableColumn id="8" xr3:uid="{20B99FA2-F3F0-4C62-A9E0-211B92E775A2}" name="베이직" dataDxfId="52" dataCellStyle="좋음"/>
    <tableColumn id="9" xr3:uid="{D16BDC90-8BB1-42A4-BDFC-B88D46C0050E}" name="홈런볼/길찾" dataDxfId="51"/>
    <tableColumn id="10" xr3:uid="{074A79CE-1BB7-4D66-B386-1F226CC843EC}" name="말차길찾기" dataDxfId="50"/>
    <tableColumn id="11" xr3:uid="{2D75687C-FC96-4FF9-A8B5-CF2F19B374AB}" name="실블" dataDxfId="49"/>
    <tableColumn id="12" xr3:uid="{A20AAA37-33D4-4AAE-B383-F96BBD295AA8}" name="겟" dataDxfId="48"/>
    <tableColumn id="13" xr3:uid="{6A20C22E-D4E1-43BE-8C6E-B1378FAD58B3}" name="247" dataDxfId="47"/>
    <tableColumn id="14" xr3:uid="{B3BCAD6F-F282-4F3F-9F17-1DF7C1B40351}" name="비실" dataDxfId="46"/>
    <tableColumn id="15" xr3:uid="{56F387D4-FFEE-4D71-8244-CC15D4FC01F3}" name="영수증(퍼플)" dataDxfId="45" dataCellStyle="입력"/>
    <tableColumn id="16" xr3:uid="{CB2E4575-B022-4D33-A665-A93A0EF19303}" name="영수증(애드)" dataDxfId="44" dataCellStyle="입력"/>
    <tableColumn id="17" xr3:uid="{691BFBA6-0C55-4E75-911C-B49D023560AC}" name="영수증(불곰)" dataDxfId="43" dataCellStyle="입력"/>
    <tableColumn id="2" xr3:uid="{9E9D16EB-3908-40F6-A7B4-D59D79A7F70F}" name="입금확인" dataDxfId="42"/>
    <tableColumn id="3" xr3:uid="{33FA1933-4D5C-4216-9C32-0D6C4B05B52A}" name="저" dataDxfId="41"/>
    <tableColumn id="18" xr3:uid="{F1F03146-4647-4A41-B6E2-6C2D980CBD40}" name="비고" dataDxfId="40"/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FECA6C-09AD-42D7-A019-D394F3FCA849}" name="표1_3" displayName="표1_3" ref="G3:X78" totalsRowShown="0" headerRowDxfId="39" headerRowBorderDxfId="38">
  <autoFilter ref="G3:X78" xr:uid="{972324F1-6005-4F17-A31D-57B08393F0A3}"/>
  <tableColumns count="18">
    <tableColumn id="1" xr3:uid="{3274D7D2-F9B5-4400-BA6D-49FAA3342141}" name="매장명" dataDxfId="37"/>
    <tableColumn id="4" xr3:uid="{4262C57D-94E1-405B-A76C-24B98FD2EEBF}" name="호올스" dataDxfId="36"/>
    <tableColumn id="5" xr3:uid="{57A83B47-F450-40AA-9798-2D8180522F4C}" name="열1" dataDxfId="35"/>
    <tableColumn id="6" xr3:uid="{B3205435-4AB5-46AC-B80A-7E321F896252}" name="투플" dataDxfId="34"/>
    <tableColumn id="7" xr3:uid="{4E5724FD-D408-4DF6-991F-29058E1CA42E}" name="투플프로" dataDxfId="33"/>
    <tableColumn id="8" xr3:uid="{D3E0F14D-D300-402C-B73C-9535FA68FDBC}" name="베이직" dataDxfId="32" dataCellStyle="좋음"/>
    <tableColumn id="9" xr3:uid="{F400E5FA-39D9-4459-A1FA-FD2574343ED3}" name="홈런볼/길찾" dataDxfId="31"/>
    <tableColumn id="10" xr3:uid="{FC52E9A4-4F1D-46BC-8B3F-CDE95448E8B4}" name="말차길찾기" dataDxfId="30"/>
    <tableColumn id="11" xr3:uid="{A8B6F274-7B09-40D6-AF83-52AF06401AC4}" name="실블" dataDxfId="29"/>
    <tableColumn id="12" xr3:uid="{2474979E-ADB3-43A2-AD47-C2266FCD83D9}" name="겟" dataDxfId="28"/>
    <tableColumn id="13" xr3:uid="{D9415E80-5E18-4E0C-AC75-16CFA2109D58}" name="247" dataDxfId="27"/>
    <tableColumn id="14" xr3:uid="{A2C038F8-2673-4788-BBB3-CD323E4A15F1}" name="비실" dataDxfId="26"/>
    <tableColumn id="15" xr3:uid="{7C0FAA2E-6220-4834-B3BA-654F814A2DFA}" name="영수증(퍼플)" dataDxfId="25" dataCellStyle="입력"/>
    <tableColumn id="16" xr3:uid="{35BC6DBE-F2F2-4F25-A1F5-B4DCA51A661B}" name="영수증(애드)" dataDxfId="24" dataCellStyle="입력"/>
    <tableColumn id="17" xr3:uid="{FBDFD17F-8FA3-444F-9187-03429BD9B114}" name="영수증(불곰)" dataDxfId="23" dataCellStyle="입력"/>
    <tableColumn id="2" xr3:uid="{75B1D32D-EA0C-440D-AD63-89612CB4DB2F}" name="입금확인" dataDxfId="22"/>
    <tableColumn id="3" xr3:uid="{212936A0-E05B-4092-9E80-5FAF90EE509D}" name="저" dataDxfId="21"/>
    <tableColumn id="18" xr3:uid="{10CFA67A-CBE5-4DF7-B87D-7997EAF2ED5D}" name="비고" dataDxfId="20"/>
  </tableColumns>
  <tableStyleInfo name="TableStyleLight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ED5B3A-F2BE-4E72-88F3-10496E9E10F6}" name="표1" displayName="표1" ref="G3:X91" totalsRowShown="0" headerRowDxfId="19" headerRowBorderDxfId="18">
  <autoFilter ref="G3:X91" xr:uid="{972324F1-6005-4F17-A31D-57B08393F0A3}"/>
  <tableColumns count="18">
    <tableColumn id="1" xr3:uid="{2C72EE98-C5A2-4051-B2FD-21A54BD20D35}" name="매장명" dataDxfId="17"/>
    <tableColumn id="4" xr3:uid="{1A6F3249-0E5E-4C96-9C18-C8B39D7B4E19}" name="호올스" dataDxfId="16"/>
    <tableColumn id="5" xr3:uid="{80C4E0D1-CFA9-44A6-A51F-173792191188}" name="말차유입" dataDxfId="15"/>
    <tableColumn id="6" xr3:uid="{C10B78DE-507E-4E1D-8E42-2368D69C56D1}" name="투플" dataDxfId="14"/>
    <tableColumn id="7" xr3:uid="{603B01BD-852F-469F-8149-D5D01A23FF03}" name="투플프로" dataDxfId="13"/>
    <tableColumn id="8" xr3:uid="{DD0B4CA3-0A74-4DDF-8176-B7B020CD5266}" name="베이직" dataDxfId="12" dataCellStyle="좋음"/>
    <tableColumn id="9" xr3:uid="{14EB63F4-0194-4DCB-8514-4BE035FEE490}" name="홈런볼/길찾" dataDxfId="11"/>
    <tableColumn id="10" xr3:uid="{9F87A1B2-AE88-4CFD-A033-DC62F6ED9E52}" name="말차길찾기" dataDxfId="10"/>
    <tableColumn id="11" xr3:uid="{CEEBCB2B-3CE2-4484-8D3C-FA66C7842A66}" name="실블" dataDxfId="9"/>
    <tableColumn id="12" xr3:uid="{33552D5C-3874-409F-A73B-1B72B10F802A}" name="겟" dataDxfId="8"/>
    <tableColumn id="13" xr3:uid="{4BF4CB2E-830B-493D-8D81-383AFAB8B0EB}" name="247" dataDxfId="7"/>
    <tableColumn id="14" xr3:uid="{D25214AF-DABB-413E-BD9D-4576234A82BF}" name="비실" dataDxfId="6"/>
    <tableColumn id="15" xr3:uid="{3A72A6E5-050C-4D28-BEAF-3867D8F269A8}" name="영수증(퍼플)" dataDxfId="5" dataCellStyle="입력"/>
    <tableColumn id="16" xr3:uid="{AA435849-B2C7-4943-BC5E-FD91D270F823}" name="영수증(애드)" dataDxfId="4" dataCellStyle="입력"/>
    <tableColumn id="17" xr3:uid="{FBD5F997-1341-45A1-AC81-8EDAA9B97CF8}" name="영수증(불곰)" dataDxfId="3" dataCellStyle="입력"/>
    <tableColumn id="2" xr3:uid="{3D9F4B6A-126F-480F-8D88-D90044BB8BF7}" name="입금확인" dataDxfId="2"/>
    <tableColumn id="3" xr3:uid="{F13162F8-E757-44DA-AE13-6E7AB856B218}" name="저" dataDxfId="1"/>
    <tableColumn id="18" xr3:uid="{72775086-6D91-4642-B23C-0FA2422732E0}" name="비고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.place.naver.com/restaurant/1864889927/home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m.place.naver.com/restaurant/36536114/home" TargetMode="External"/><Relationship Id="rId7" Type="http://schemas.openxmlformats.org/officeDocument/2006/relationships/hyperlink" Target="https://m.place.naver.com/restaurant/1814512864/home" TargetMode="External"/><Relationship Id="rId12" Type="http://schemas.openxmlformats.org/officeDocument/2006/relationships/hyperlink" Target="https://m.place.naver.com/place/1848049619" TargetMode="External"/><Relationship Id="rId2" Type="http://schemas.openxmlformats.org/officeDocument/2006/relationships/hyperlink" Target="https://m.place.naver.com/restaurant/267802526/home?entry=pll" TargetMode="External"/><Relationship Id="rId1" Type="http://schemas.openxmlformats.org/officeDocument/2006/relationships/hyperlink" Target="https://m.place.naver.com/restaurant/1165597556/home" TargetMode="External"/><Relationship Id="rId6" Type="http://schemas.openxmlformats.org/officeDocument/2006/relationships/hyperlink" Target="https://m.place.naver.com/hospital/1004387540/home" TargetMode="External"/><Relationship Id="rId11" Type="http://schemas.openxmlformats.org/officeDocument/2006/relationships/hyperlink" Target="https://m.place.naver.com/restaurant/1596131027/home?entry=pll" TargetMode="External"/><Relationship Id="rId5" Type="http://schemas.openxmlformats.org/officeDocument/2006/relationships/hyperlink" Target="https://m.place.naver.com/restaurant/1091056146/home" TargetMode="External"/><Relationship Id="rId10" Type="http://schemas.openxmlformats.org/officeDocument/2006/relationships/hyperlink" Target="https://m.place.naver.com/restaurant/2099188087/home" TargetMode="External"/><Relationship Id="rId4" Type="http://schemas.openxmlformats.org/officeDocument/2006/relationships/hyperlink" Target="https://m.place.naver.com/hairshop/1509576334/home" TargetMode="External"/><Relationship Id="rId9" Type="http://schemas.openxmlformats.org/officeDocument/2006/relationships/hyperlink" Target="https://m.place.naver.com/place/32507602/home" TargetMode="Externa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.place.naver.com/restaurant/1864889927/home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m.place.naver.com/restaurant/36536114/home" TargetMode="External"/><Relationship Id="rId7" Type="http://schemas.openxmlformats.org/officeDocument/2006/relationships/hyperlink" Target="https://m.place.naver.com/restaurant/1814512864/home" TargetMode="External"/><Relationship Id="rId12" Type="http://schemas.openxmlformats.org/officeDocument/2006/relationships/hyperlink" Target="https://m.place.naver.com/place/1848049619" TargetMode="External"/><Relationship Id="rId2" Type="http://schemas.openxmlformats.org/officeDocument/2006/relationships/hyperlink" Target="https://m.place.naver.com/restaurant/267802526/home?entry=pll" TargetMode="External"/><Relationship Id="rId1" Type="http://schemas.openxmlformats.org/officeDocument/2006/relationships/hyperlink" Target="https://m.place.naver.com/restaurant/1165597556/home" TargetMode="External"/><Relationship Id="rId6" Type="http://schemas.openxmlformats.org/officeDocument/2006/relationships/hyperlink" Target="https://m.place.naver.com/hospital/1004387540/home" TargetMode="External"/><Relationship Id="rId11" Type="http://schemas.openxmlformats.org/officeDocument/2006/relationships/hyperlink" Target="https://m.place.naver.com/restaurant/1596131027/home?entry=pll" TargetMode="External"/><Relationship Id="rId5" Type="http://schemas.openxmlformats.org/officeDocument/2006/relationships/hyperlink" Target="https://m.place.naver.com/restaurant/1091056146/home" TargetMode="External"/><Relationship Id="rId10" Type="http://schemas.openxmlformats.org/officeDocument/2006/relationships/hyperlink" Target="https://m.place.naver.com/restaurant/2099188087/home" TargetMode="External"/><Relationship Id="rId4" Type="http://schemas.openxmlformats.org/officeDocument/2006/relationships/hyperlink" Target="https://m.place.naver.com/hairshop/1509576334/home" TargetMode="External"/><Relationship Id="rId9" Type="http://schemas.openxmlformats.org/officeDocument/2006/relationships/hyperlink" Target="https://m.place.naver.com/place/32507602/home" TargetMode="External"/><Relationship Id="rId1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.place.naver.com/hairshop/1509576334/hom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m.place.naver.com/restaurant/1814512864/home" TargetMode="External"/><Relationship Id="rId13" Type="http://schemas.openxmlformats.org/officeDocument/2006/relationships/printerSettings" Target="../printerSettings/printerSettings3.bin"/><Relationship Id="rId3" Type="http://schemas.openxmlformats.org/officeDocument/2006/relationships/hyperlink" Target="https://m.place.naver.com/restaurant/1575722042/home" TargetMode="External"/><Relationship Id="rId7" Type="http://schemas.openxmlformats.org/officeDocument/2006/relationships/hyperlink" Target="https://m.place.naver.com/hospital/1004387540/home" TargetMode="External"/><Relationship Id="rId12" Type="http://schemas.openxmlformats.org/officeDocument/2006/relationships/hyperlink" Target="https://m.place.naver.com/place/32507602/home" TargetMode="External"/><Relationship Id="rId2" Type="http://schemas.openxmlformats.org/officeDocument/2006/relationships/hyperlink" Target="https://m.place.naver.com/restaurant/267802526/home?entry=pll" TargetMode="External"/><Relationship Id="rId1" Type="http://schemas.openxmlformats.org/officeDocument/2006/relationships/hyperlink" Target="https://m.place.naver.com/restaurant/1165597556/home" TargetMode="External"/><Relationship Id="rId6" Type="http://schemas.openxmlformats.org/officeDocument/2006/relationships/hyperlink" Target="https://m.place.naver.com/restaurant/1091056146/home" TargetMode="External"/><Relationship Id="rId11" Type="http://schemas.openxmlformats.org/officeDocument/2006/relationships/hyperlink" Target="https://m.place.naver.com/restaurant/1596131027/home?entry=pll" TargetMode="External"/><Relationship Id="rId5" Type="http://schemas.openxmlformats.org/officeDocument/2006/relationships/hyperlink" Target="https://m.place.naver.com/hairshop/1509576334/home" TargetMode="External"/><Relationship Id="rId10" Type="http://schemas.openxmlformats.org/officeDocument/2006/relationships/hyperlink" Target="https://m.place.naver.com/restaurant/2099188087/home" TargetMode="External"/><Relationship Id="rId4" Type="http://schemas.openxmlformats.org/officeDocument/2006/relationships/hyperlink" Target="https://m.place.naver.com/restaurant/36536114/home" TargetMode="External"/><Relationship Id="rId9" Type="http://schemas.openxmlformats.org/officeDocument/2006/relationships/hyperlink" Target="https://m.place.naver.com/restaurant/1864889927/home" TargetMode="External"/><Relationship Id="rId1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.place.naver.com/restaurant/1814512864/home" TargetMode="External"/><Relationship Id="rId13" Type="http://schemas.openxmlformats.org/officeDocument/2006/relationships/table" Target="../tables/table4.xml"/><Relationship Id="rId3" Type="http://schemas.openxmlformats.org/officeDocument/2006/relationships/hyperlink" Target="https://m.place.naver.com/restaurant/1575722042/home" TargetMode="External"/><Relationship Id="rId7" Type="http://schemas.openxmlformats.org/officeDocument/2006/relationships/hyperlink" Target="https://m.place.naver.com/hospital/1004387540/home" TargetMode="External"/><Relationship Id="rId12" Type="http://schemas.openxmlformats.org/officeDocument/2006/relationships/printerSettings" Target="../printerSettings/printerSettings4.bin"/><Relationship Id="rId2" Type="http://schemas.openxmlformats.org/officeDocument/2006/relationships/hyperlink" Target="https://m.place.naver.com/restaurant/267802526/home?entry=pll" TargetMode="External"/><Relationship Id="rId1" Type="http://schemas.openxmlformats.org/officeDocument/2006/relationships/hyperlink" Target="https://m.place.naver.com/restaurant/1165597556/home" TargetMode="External"/><Relationship Id="rId6" Type="http://schemas.openxmlformats.org/officeDocument/2006/relationships/hyperlink" Target="https://m.place.naver.com/restaurant/1091056146/home" TargetMode="External"/><Relationship Id="rId11" Type="http://schemas.openxmlformats.org/officeDocument/2006/relationships/hyperlink" Target="https://m.place.naver.com/restaurant/1596131027/home?entry=pll" TargetMode="External"/><Relationship Id="rId5" Type="http://schemas.openxmlformats.org/officeDocument/2006/relationships/hyperlink" Target="https://m.place.naver.com/hairshop/1509576334/home" TargetMode="External"/><Relationship Id="rId10" Type="http://schemas.openxmlformats.org/officeDocument/2006/relationships/hyperlink" Target="https://m.place.naver.com/restaurant/2099188087/home" TargetMode="External"/><Relationship Id="rId4" Type="http://schemas.openxmlformats.org/officeDocument/2006/relationships/hyperlink" Target="https://m.place.naver.com/restaurant/36536114/home" TargetMode="External"/><Relationship Id="rId9" Type="http://schemas.openxmlformats.org/officeDocument/2006/relationships/hyperlink" Target="https://m.place.naver.com/restaurant/1864889927/home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hyperlink" Target="https://m.place.naver.com/restaurant/1575722042/home" TargetMode="External"/><Relationship Id="rId7" Type="http://schemas.openxmlformats.org/officeDocument/2006/relationships/hyperlink" Target="https://m.place.naver.com/hospital/1004387540/home" TargetMode="External"/><Relationship Id="rId2" Type="http://schemas.openxmlformats.org/officeDocument/2006/relationships/hyperlink" Target="https://m.place.naver.com/restaurant/267802526/home?entry=pll" TargetMode="External"/><Relationship Id="rId1" Type="http://schemas.openxmlformats.org/officeDocument/2006/relationships/hyperlink" Target="https://m.place.naver.com/restaurant/1165597556/home" TargetMode="External"/><Relationship Id="rId6" Type="http://schemas.openxmlformats.org/officeDocument/2006/relationships/hyperlink" Target="https://m.place.naver.com/restaurant/1091056146/home" TargetMode="External"/><Relationship Id="rId5" Type="http://schemas.openxmlformats.org/officeDocument/2006/relationships/hyperlink" Target="https://m.place.naver.com/hairshop/1509576334/home" TargetMode="External"/><Relationship Id="rId4" Type="http://schemas.openxmlformats.org/officeDocument/2006/relationships/hyperlink" Target="https://m.place.naver.com/restaurant/36536114/home" TargetMode="External"/><Relationship Id="rId9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m.place.naver.com/hairshop/1872013382/home?entry=pll" TargetMode="External"/><Relationship Id="rId2" Type="http://schemas.openxmlformats.org/officeDocument/2006/relationships/hyperlink" Target="https://m.place.naver.com/place/1012331030/home" TargetMode="External"/><Relationship Id="rId1" Type="http://schemas.openxmlformats.org/officeDocument/2006/relationships/hyperlink" Target="https://m.place.naver.com/place/1374995918/home" TargetMode="External"/><Relationship Id="rId5" Type="http://schemas.openxmlformats.org/officeDocument/2006/relationships/table" Target="../tables/table6.xml"/><Relationship Id="rId4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m.place.naver.com/place/1374995918/home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m.place.naver.com/place/1374995918/home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m.place.naver.com/place/34168794/home?entry=pll" TargetMode="External"/><Relationship Id="rId7" Type="http://schemas.openxmlformats.org/officeDocument/2006/relationships/printerSettings" Target="../printerSettings/printerSettings13.bin"/><Relationship Id="rId2" Type="http://schemas.openxmlformats.org/officeDocument/2006/relationships/hyperlink" Target="https://m.place.naver.com/place/21888953/home?entry=pll" TargetMode="External"/><Relationship Id="rId1" Type="http://schemas.openxmlformats.org/officeDocument/2006/relationships/hyperlink" Target="https://m.place.naver.com/place/34355121/home" TargetMode="External"/><Relationship Id="rId6" Type="http://schemas.openxmlformats.org/officeDocument/2006/relationships/hyperlink" Target="https://m.place.naver.com/place/1475117366/home?entry=pll" TargetMode="External"/><Relationship Id="rId5" Type="http://schemas.openxmlformats.org/officeDocument/2006/relationships/hyperlink" Target="https://m.place.naver.com/place/2048523733" TargetMode="External"/><Relationship Id="rId4" Type="http://schemas.openxmlformats.org/officeDocument/2006/relationships/hyperlink" Target="https://m.place.naver.com/place/1022013892/home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m.place.naver.com/place/34168794/home?entry=pll" TargetMode="External"/><Relationship Id="rId2" Type="http://schemas.openxmlformats.org/officeDocument/2006/relationships/hyperlink" Target="https://m.place.naver.com/place/21888953/home?entry=pll" TargetMode="External"/><Relationship Id="rId1" Type="http://schemas.openxmlformats.org/officeDocument/2006/relationships/hyperlink" Target="https://m.place.naver.com/place/34355121/home" TargetMode="External"/><Relationship Id="rId5" Type="http://schemas.openxmlformats.org/officeDocument/2006/relationships/printerSettings" Target="../printerSettings/printerSettings16.bin"/><Relationship Id="rId4" Type="http://schemas.openxmlformats.org/officeDocument/2006/relationships/hyperlink" Target="https://m.place.naver.com/place/1022013892/home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DF7A-9C84-4D57-85BA-3762D9A87CB0}">
  <dimension ref="A1:AO132"/>
  <sheetViews>
    <sheetView zoomScale="85" zoomScaleNormal="85" workbookViewId="0">
      <pane ySplit="2" topLeftCell="A49" activePane="bottomLeft" state="frozen"/>
      <selection activeCell="D1" sqref="D1"/>
      <selection pane="bottomLeft" activeCell="B31" sqref="B31"/>
    </sheetView>
  </sheetViews>
  <sheetFormatPr defaultRowHeight="16.5"/>
  <cols>
    <col min="1" max="1" width="12.25" style="2" customWidth="1"/>
    <col min="2" max="2" width="10" customWidth="1"/>
    <col min="3" max="3" width="13.25" style="15" bestFit="1" customWidth="1"/>
    <col min="4" max="4" width="20.25" style="15" bestFit="1" customWidth="1"/>
    <col min="5" max="5" width="9" customWidth="1"/>
    <col min="6" max="7" width="7.625" customWidth="1"/>
    <col min="8" max="11" width="9" customWidth="1"/>
    <col min="12" max="15" width="7.625" customWidth="1"/>
    <col min="16" max="17" width="7.625" style="2" customWidth="1"/>
    <col min="18" max="19" width="9.25" style="2" customWidth="1"/>
    <col min="20" max="20" width="10.875" style="2" customWidth="1"/>
    <col min="21" max="21" width="8.875" style="15" customWidth="1"/>
    <col min="22" max="22" width="10" style="2" customWidth="1"/>
    <col min="23" max="23" width="9.25" style="2" customWidth="1"/>
    <col min="24" max="24" width="10" style="2" customWidth="1"/>
    <col min="25" max="25" width="8.25" style="15" bestFit="1" customWidth="1"/>
    <col min="26" max="26" width="8.25" style="15" customWidth="1"/>
    <col min="27" max="32" width="8.625" style="2"/>
    <col min="33" max="33" width="30.625" style="2" customWidth="1"/>
    <col min="34" max="35" width="20.25" style="15" customWidth="1"/>
    <col min="36" max="36" width="9" style="2" customWidth="1"/>
    <col min="37" max="37" width="8.625" style="2"/>
    <col min="38" max="39" width="15.125" style="15" customWidth="1"/>
    <col min="40" max="40" width="9" style="2" customWidth="1"/>
    <col min="41" max="41" width="8.625" style="2"/>
  </cols>
  <sheetData>
    <row r="1" spans="1:41" ht="36" customHeight="1" thickBot="1">
      <c r="A1" s="238" t="s">
        <v>568</v>
      </c>
      <c r="B1" s="238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5"/>
      <c r="V1" s="15"/>
      <c r="Y1" s="2"/>
      <c r="Z1" s="2"/>
      <c r="AD1" s="15"/>
      <c r="AE1" s="15"/>
      <c r="AF1" s="15"/>
      <c r="AG1" s="15"/>
      <c r="AH1" s="2"/>
      <c r="AI1" s="2"/>
      <c r="AJ1"/>
      <c r="AK1"/>
      <c r="AL1"/>
      <c r="AM1"/>
      <c r="AN1"/>
      <c r="AO1"/>
    </row>
    <row r="2" spans="1:41" s="270" customFormat="1" ht="23.25" customHeight="1" thickBot="1">
      <c r="A2" s="253" t="s">
        <v>505</v>
      </c>
      <c r="B2" s="254" t="s">
        <v>519</v>
      </c>
      <c r="C2" s="255" t="s">
        <v>427</v>
      </c>
      <c r="D2" s="256" t="s">
        <v>198</v>
      </c>
      <c r="E2" s="255" t="s">
        <v>589</v>
      </c>
      <c r="F2" s="258" t="s">
        <v>524</v>
      </c>
      <c r="G2" s="257" t="s">
        <v>75</v>
      </c>
      <c r="H2" s="255" t="s">
        <v>439</v>
      </c>
      <c r="I2" s="259" t="s">
        <v>578</v>
      </c>
      <c r="J2" s="259" t="s">
        <v>567</v>
      </c>
      <c r="K2" s="259" t="s">
        <v>499</v>
      </c>
      <c r="L2" s="258" t="s">
        <v>498</v>
      </c>
      <c r="M2" s="259" t="s">
        <v>440</v>
      </c>
      <c r="N2" s="256" t="s">
        <v>371</v>
      </c>
      <c r="O2" s="256" t="s">
        <v>299</v>
      </c>
      <c r="P2" s="260" t="s">
        <v>300</v>
      </c>
      <c r="Q2" s="258" t="s">
        <v>156</v>
      </c>
      <c r="R2" s="261" t="s">
        <v>121</v>
      </c>
      <c r="S2" s="256" t="s">
        <v>581</v>
      </c>
      <c r="T2" s="262" t="s">
        <v>54</v>
      </c>
      <c r="U2" s="263" t="s">
        <v>116</v>
      </c>
      <c r="V2" s="263" t="s">
        <v>339</v>
      </c>
      <c r="W2" s="264" t="s">
        <v>189</v>
      </c>
      <c r="X2" s="265" t="s">
        <v>53</v>
      </c>
      <c r="Y2" s="266" t="s">
        <v>195</v>
      </c>
      <c r="Z2" s="267" t="s">
        <v>375</v>
      </c>
      <c r="AA2" s="267" t="s">
        <v>376</v>
      </c>
      <c r="AB2" s="268" t="s">
        <v>196</v>
      </c>
      <c r="AC2" s="269" t="s">
        <v>197</v>
      </c>
      <c r="AD2" s="256" t="s">
        <v>378</v>
      </c>
      <c r="AE2" s="256" t="s">
        <v>361</v>
      </c>
      <c r="AF2" s="256" t="s">
        <v>159</v>
      </c>
      <c r="AG2" s="256" t="s">
        <v>11</v>
      </c>
      <c r="AH2" s="261" t="s">
        <v>199</v>
      </c>
      <c r="AI2" s="256"/>
    </row>
    <row r="3" spans="1:41" s="252" customFormat="1" ht="23.25" customHeight="1">
      <c r="A3" s="53" t="s">
        <v>507</v>
      </c>
      <c r="B3" s="248">
        <v>46014</v>
      </c>
      <c r="C3" s="53">
        <v>2064392403</v>
      </c>
      <c r="D3" s="53" t="s">
        <v>419</v>
      </c>
      <c r="E3" s="53" t="str">
        <f>"https://m.place.naver.com/place/" &amp;C3 &amp; "/home"</f>
        <v>https://m.place.naver.com/place/2064392403/home</v>
      </c>
      <c r="F3" s="53"/>
      <c r="G3" s="53"/>
      <c r="H3" s="53"/>
      <c r="I3" s="53">
        <v>300</v>
      </c>
      <c r="J3" s="53"/>
      <c r="K3" s="53"/>
      <c r="L3" s="53"/>
      <c r="M3" s="53"/>
      <c r="N3" s="53"/>
      <c r="O3" s="53"/>
      <c r="P3" s="249"/>
      <c r="Q3" s="53">
        <v>100</v>
      </c>
      <c r="R3" s="53"/>
      <c r="S3" s="53"/>
      <c r="T3" s="250"/>
      <c r="U3" s="236"/>
      <c r="V3" s="237"/>
      <c r="W3" s="250"/>
      <c r="X3" s="250"/>
      <c r="Y3" s="251"/>
      <c r="Z3" s="251"/>
      <c r="AA3" s="251"/>
      <c r="AB3" s="251"/>
      <c r="AC3" s="251"/>
      <c r="AD3" s="53"/>
      <c r="AE3" s="53"/>
      <c r="AF3" s="53"/>
      <c r="AG3" s="53"/>
      <c r="AH3" s="53"/>
      <c r="AI3" s="53"/>
    </row>
    <row r="4" spans="1:41" s="252" customFormat="1" ht="23.25" customHeight="1">
      <c r="A4" s="53"/>
      <c r="B4" s="248"/>
      <c r="C4" s="53"/>
      <c r="D4" s="14" t="s">
        <v>21</v>
      </c>
      <c r="E4" s="14"/>
      <c r="F4" s="14"/>
      <c r="G4" s="14"/>
      <c r="H4" s="14">
        <v>300</v>
      </c>
      <c r="I4" s="14"/>
      <c r="J4" s="14"/>
      <c r="K4" s="14"/>
      <c r="L4" s="14"/>
      <c r="M4" s="14"/>
      <c r="N4" s="14"/>
      <c r="O4" s="14"/>
      <c r="P4" s="241"/>
      <c r="Q4" s="14">
        <v>100</v>
      </c>
      <c r="R4" s="14"/>
      <c r="S4" s="14"/>
      <c r="T4" s="242"/>
      <c r="U4" s="215"/>
      <c r="V4" s="216"/>
      <c r="W4" s="242"/>
      <c r="X4" s="242"/>
      <c r="Y4" s="243"/>
      <c r="Z4" s="243"/>
      <c r="AA4" s="243"/>
      <c r="AB4" s="243"/>
      <c r="AC4" s="243"/>
      <c r="AD4" s="244"/>
      <c r="AE4" s="244"/>
      <c r="AF4" s="14"/>
      <c r="AG4" s="14"/>
      <c r="AH4" s="14"/>
      <c r="AI4" s="53"/>
    </row>
    <row r="5" spans="1:41" s="252" customFormat="1" ht="23.25" customHeight="1">
      <c r="A5" s="53"/>
      <c r="B5" s="248"/>
      <c r="C5" s="5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241"/>
      <c r="Q5" s="14"/>
      <c r="R5" s="14"/>
      <c r="S5" s="14"/>
      <c r="T5" s="242"/>
      <c r="U5" s="215"/>
      <c r="V5" s="216"/>
      <c r="W5" s="242"/>
      <c r="X5" s="242"/>
      <c r="Y5" s="243"/>
      <c r="Z5" s="243"/>
      <c r="AA5" s="243"/>
      <c r="AB5" s="243"/>
      <c r="AC5" s="243"/>
      <c r="AD5" s="244"/>
      <c r="AE5" s="244"/>
      <c r="AF5" s="14"/>
      <c r="AG5" s="14"/>
      <c r="AH5" s="14"/>
      <c r="AI5" s="53"/>
    </row>
    <row r="6" spans="1:41" s="116" customFormat="1" ht="23.25" customHeight="1">
      <c r="A6" s="14" t="s">
        <v>508</v>
      </c>
      <c r="B6" s="239">
        <v>46015</v>
      </c>
      <c r="C6" s="14">
        <v>1173433139</v>
      </c>
      <c r="D6" s="14" t="s">
        <v>442</v>
      </c>
      <c r="E6" s="14" t="str">
        <f>"https://m.place.naver.com/place/" &amp;C6 &amp; "/home"</f>
        <v>https://m.place.naver.com/place/1173433139/home</v>
      </c>
      <c r="F6" s="14">
        <v>100</v>
      </c>
      <c r="G6" s="14"/>
      <c r="H6" s="14"/>
      <c r="I6" s="14"/>
      <c r="J6" s="14"/>
      <c r="K6" s="14"/>
      <c r="L6" s="14"/>
      <c r="M6" s="14"/>
      <c r="N6" s="14"/>
      <c r="O6" s="14"/>
      <c r="P6" s="241"/>
      <c r="Q6" s="14">
        <v>100</v>
      </c>
      <c r="R6" s="14"/>
      <c r="S6" s="14"/>
      <c r="T6" s="242"/>
      <c r="U6" s="215"/>
      <c r="V6" s="216"/>
      <c r="W6" s="242"/>
      <c r="X6" s="242"/>
      <c r="Y6" s="243"/>
      <c r="Z6" s="243"/>
      <c r="AA6" s="243"/>
      <c r="AB6" s="243"/>
      <c r="AC6" s="243"/>
      <c r="AD6" s="244"/>
      <c r="AE6" s="244"/>
      <c r="AF6" s="14"/>
      <c r="AG6" s="14"/>
      <c r="AH6" s="14"/>
      <c r="AI6" s="14"/>
    </row>
    <row r="7" spans="1:41" s="116" customFormat="1" ht="20.100000000000001" customHeight="1">
      <c r="A7" s="14"/>
      <c r="C7" s="14">
        <v>36399674</v>
      </c>
      <c r="D7" s="14" t="s">
        <v>73</v>
      </c>
      <c r="E7" s="14" t="str">
        <f>"https://m.place.naver.com/place/" &amp;C7 &amp; "/home"</f>
        <v>https://m.place.naver.com/place/36399674/home</v>
      </c>
      <c r="F7" s="14"/>
      <c r="G7" s="14"/>
      <c r="H7" s="14">
        <v>150</v>
      </c>
      <c r="I7" s="14"/>
      <c r="J7" s="14"/>
      <c r="K7" s="14"/>
      <c r="L7" s="14"/>
      <c r="M7" s="14"/>
      <c r="N7" s="14"/>
      <c r="O7" s="14"/>
      <c r="P7" s="241"/>
      <c r="Q7" s="14">
        <v>100</v>
      </c>
      <c r="R7" s="14"/>
      <c r="S7" s="14"/>
      <c r="T7" s="14"/>
      <c r="U7" s="14"/>
      <c r="V7" s="14"/>
      <c r="W7" s="14"/>
      <c r="X7" s="14"/>
      <c r="Y7" s="243"/>
      <c r="Z7" s="243"/>
      <c r="AA7" s="243"/>
      <c r="AB7" s="243"/>
      <c r="AC7" s="243"/>
      <c r="AD7" s="244"/>
      <c r="AE7" s="244"/>
      <c r="AF7" s="14"/>
      <c r="AG7" s="14"/>
      <c r="AH7" s="14"/>
      <c r="AI7" s="14"/>
    </row>
    <row r="8" spans="1:41" s="116" customFormat="1" ht="20.100000000000001" customHeight="1">
      <c r="A8" s="14"/>
      <c r="C8" s="14">
        <v>1773775267</v>
      </c>
      <c r="D8" s="14" t="s">
        <v>421</v>
      </c>
      <c r="E8" s="14" t="str">
        <f t="shared" ref="E8:E18" si="0">"https://m.place.naver.com/place/" &amp;C8 &amp; "/home"</f>
        <v>https://m.place.naver.com/place/1773775267/home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241"/>
      <c r="Q8" s="14"/>
      <c r="R8" s="14"/>
      <c r="S8" s="14"/>
      <c r="T8" s="14"/>
      <c r="U8" s="14"/>
      <c r="V8" s="14"/>
      <c r="W8" s="14"/>
      <c r="X8" s="14"/>
      <c r="Y8" s="243"/>
      <c r="Z8" s="243"/>
      <c r="AA8" s="243"/>
      <c r="AB8" s="243"/>
      <c r="AC8" s="243"/>
      <c r="AD8" s="14"/>
      <c r="AE8" s="14"/>
      <c r="AF8" s="14"/>
      <c r="AG8" s="14"/>
      <c r="AH8" s="14"/>
      <c r="AI8" s="14"/>
    </row>
    <row r="9" spans="1:41" s="116" customFormat="1" ht="20.100000000000001" customHeight="1">
      <c r="A9" s="14"/>
      <c r="C9" s="14">
        <v>2047453115</v>
      </c>
      <c r="D9" s="14" t="s">
        <v>423</v>
      </c>
      <c r="E9" s="14" t="str">
        <f t="shared" si="0"/>
        <v>https://m.place.naver.com/place/2047453115/home</v>
      </c>
      <c r="F9" s="14"/>
      <c r="G9" s="14"/>
      <c r="H9" s="14">
        <v>200</v>
      </c>
      <c r="I9" s="14"/>
      <c r="J9" s="14"/>
      <c r="K9" s="14"/>
      <c r="L9" s="14"/>
      <c r="M9" s="14"/>
      <c r="N9" s="14"/>
      <c r="O9" s="14"/>
      <c r="P9" s="241"/>
      <c r="Q9" s="14"/>
      <c r="R9" s="14"/>
      <c r="S9" s="14"/>
      <c r="T9" s="14"/>
      <c r="U9" s="14"/>
      <c r="V9" s="14"/>
      <c r="W9" s="14"/>
      <c r="X9" s="14"/>
      <c r="Y9" s="243"/>
      <c r="Z9" s="243"/>
      <c r="AA9" s="243"/>
      <c r="AB9" s="243"/>
      <c r="AC9" s="243"/>
      <c r="AD9" s="14"/>
      <c r="AE9" s="14"/>
      <c r="AF9" s="14"/>
      <c r="AG9" s="14"/>
      <c r="AH9" s="14"/>
      <c r="AI9" s="14"/>
    </row>
    <row r="10" spans="1:41" s="116" customFormat="1" ht="20.100000000000001" customHeight="1">
      <c r="A10" s="14"/>
      <c r="C10" s="14">
        <v>1138528583</v>
      </c>
      <c r="D10" s="14" t="s">
        <v>10</v>
      </c>
      <c r="E10" s="14" t="str">
        <f t="shared" si="0"/>
        <v>https://m.place.naver.com/place/1138528583/home</v>
      </c>
      <c r="F10" s="14">
        <v>200</v>
      </c>
      <c r="G10" s="14">
        <v>300</v>
      </c>
      <c r="H10" s="14">
        <v>300</v>
      </c>
      <c r="I10" s="14"/>
      <c r="J10" s="14"/>
      <c r="K10" s="14"/>
      <c r="L10" s="14"/>
      <c r="M10" s="14"/>
      <c r="N10" s="14"/>
      <c r="O10" s="14"/>
      <c r="P10" s="241"/>
      <c r="Q10" s="14">
        <v>200</v>
      </c>
      <c r="R10" s="14"/>
      <c r="S10" s="14"/>
      <c r="T10" s="14"/>
      <c r="U10" s="14"/>
      <c r="V10" s="14"/>
      <c r="W10" s="14"/>
      <c r="X10" s="14"/>
      <c r="Y10" s="243"/>
      <c r="Z10" s="243"/>
      <c r="AA10" s="243"/>
      <c r="AB10" s="243"/>
      <c r="AC10" s="243"/>
      <c r="AD10" s="14"/>
      <c r="AE10" s="14"/>
      <c r="AF10" s="14"/>
      <c r="AG10" s="14"/>
      <c r="AH10" s="14"/>
      <c r="AI10" s="14"/>
    </row>
    <row r="11" spans="1:41" s="4" customFormat="1" ht="20.100000000000001" customHeight="1">
      <c r="A11" s="14"/>
      <c r="B11" s="116"/>
      <c r="C11" s="14">
        <v>1374995918</v>
      </c>
      <c r="D11" s="14" t="s">
        <v>409</v>
      </c>
      <c r="E11" s="14" t="str">
        <f t="shared" si="0"/>
        <v>https://m.place.naver.com/place/1374995918/home</v>
      </c>
      <c r="F11" s="14">
        <v>150</v>
      </c>
      <c r="G11" s="14"/>
      <c r="H11" s="14">
        <v>100</v>
      </c>
      <c r="I11" s="14"/>
      <c r="J11" s="14"/>
      <c r="K11" s="14"/>
      <c r="L11" s="14"/>
      <c r="M11" s="14"/>
      <c r="N11" s="14"/>
      <c r="O11" s="14"/>
      <c r="P11" s="241"/>
      <c r="Q11" s="39"/>
      <c r="R11" s="280">
        <v>100</v>
      </c>
      <c r="S11" s="280"/>
      <c r="T11" s="14"/>
      <c r="U11" s="14"/>
      <c r="V11" s="14"/>
      <c r="W11" s="5"/>
      <c r="X11" s="5"/>
      <c r="Y11" s="243"/>
      <c r="Z11" s="243"/>
      <c r="AA11" s="243"/>
      <c r="AB11" s="243"/>
      <c r="AC11" s="243"/>
      <c r="AD11" s="14"/>
      <c r="AE11" s="14"/>
      <c r="AF11" s="14"/>
      <c r="AG11" s="14"/>
      <c r="AH11" s="14"/>
      <c r="AI11" s="5"/>
    </row>
    <row r="12" spans="1:41" s="116" customFormat="1" ht="20.100000000000001" customHeight="1">
      <c r="A12" s="14"/>
      <c r="C12" s="14">
        <v>1382904718</v>
      </c>
      <c r="D12" s="14" t="s">
        <v>403</v>
      </c>
      <c r="E12" s="14" t="str">
        <f t="shared" si="0"/>
        <v>https://m.place.naver.com/place/1382904718/home</v>
      </c>
      <c r="F12" s="14">
        <v>150</v>
      </c>
      <c r="G12" s="14"/>
      <c r="H12" s="14"/>
      <c r="I12" s="14"/>
      <c r="J12" s="14"/>
      <c r="K12" s="14"/>
      <c r="L12" s="14"/>
      <c r="M12" s="14"/>
      <c r="N12" s="14"/>
      <c r="O12" s="14"/>
      <c r="P12" s="241"/>
      <c r="Q12" s="14"/>
      <c r="R12" s="14"/>
      <c r="S12" s="14"/>
      <c r="T12" s="14"/>
      <c r="U12" s="14"/>
      <c r="V12" s="14"/>
      <c r="W12" s="14"/>
      <c r="X12" s="14"/>
      <c r="Y12" s="243"/>
      <c r="Z12" s="243"/>
      <c r="AA12" s="243"/>
      <c r="AB12" s="243"/>
      <c r="AC12" s="243"/>
      <c r="AD12" s="14"/>
      <c r="AE12" s="14"/>
      <c r="AF12" s="14"/>
      <c r="AG12" s="14"/>
      <c r="AH12" s="14"/>
      <c r="AI12" s="14"/>
    </row>
    <row r="13" spans="1:41" s="116" customFormat="1" ht="20.100000000000001" customHeight="1">
      <c r="A13" s="14"/>
      <c r="C13" s="14">
        <v>1024294111</v>
      </c>
      <c r="D13" s="14" t="s">
        <v>407</v>
      </c>
      <c r="E13" s="14" t="str">
        <f t="shared" si="0"/>
        <v>https://m.place.naver.com/place/1024294111/home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241"/>
      <c r="Q13" s="14"/>
      <c r="R13" s="14"/>
      <c r="S13" s="14"/>
      <c r="T13" s="14"/>
      <c r="U13" s="14"/>
      <c r="V13" s="14"/>
      <c r="W13" s="14"/>
      <c r="X13" s="14"/>
      <c r="Y13" s="243"/>
      <c r="Z13" s="243"/>
      <c r="AA13" s="243"/>
      <c r="AB13" s="243"/>
      <c r="AC13" s="243"/>
      <c r="AD13" s="14"/>
      <c r="AE13" s="14"/>
      <c r="AF13" s="14"/>
      <c r="AG13" s="14"/>
      <c r="AH13" s="14"/>
      <c r="AI13" s="14"/>
    </row>
    <row r="14" spans="1:41" s="116" customFormat="1" ht="20.100000000000001" customHeight="1">
      <c r="A14" s="14"/>
      <c r="C14" s="14">
        <v>2044480569</v>
      </c>
      <c r="D14" s="14" t="s">
        <v>405</v>
      </c>
      <c r="E14" s="14" t="str">
        <f t="shared" si="0"/>
        <v>https://m.place.naver.com/place/2044480569/home</v>
      </c>
      <c r="F14" s="14">
        <v>150</v>
      </c>
      <c r="G14" s="14"/>
      <c r="H14" s="14"/>
      <c r="I14" s="14"/>
      <c r="J14" s="14"/>
      <c r="K14" s="14"/>
      <c r="L14" s="14"/>
      <c r="M14" s="14"/>
      <c r="N14" s="14"/>
      <c r="O14" s="14"/>
      <c r="P14" s="241"/>
      <c r="Q14" s="14"/>
      <c r="R14" s="14"/>
      <c r="S14" s="14"/>
      <c r="T14" s="14"/>
      <c r="U14" s="14"/>
      <c r="V14" s="14"/>
      <c r="W14" s="14"/>
      <c r="X14" s="14"/>
      <c r="Y14" s="243"/>
      <c r="Z14" s="243"/>
      <c r="AA14" s="243"/>
      <c r="AB14" s="243"/>
      <c r="AC14" s="243"/>
      <c r="AD14" s="4"/>
      <c r="AE14" s="245"/>
      <c r="AF14" s="14"/>
      <c r="AG14" s="14"/>
      <c r="AH14" s="14"/>
      <c r="AI14" s="14"/>
    </row>
    <row r="15" spans="1:41" s="116" customFormat="1" ht="20.100000000000001" customHeight="1">
      <c r="A15" s="14"/>
      <c r="C15" s="14">
        <v>1012331030</v>
      </c>
      <c r="D15" s="14" t="s">
        <v>444</v>
      </c>
      <c r="E15" s="14" t="str">
        <f t="shared" si="0"/>
        <v>https://m.place.naver.com/place/1012331030/home</v>
      </c>
      <c r="F15" s="14">
        <v>100</v>
      </c>
      <c r="G15" s="14"/>
      <c r="H15" s="14"/>
      <c r="I15" s="14"/>
      <c r="J15" s="14"/>
      <c r="K15" s="14"/>
      <c r="L15" s="14"/>
      <c r="M15" s="14"/>
      <c r="N15" s="14"/>
      <c r="O15" s="14"/>
      <c r="P15" s="241"/>
      <c r="Q15" s="14"/>
      <c r="R15" s="14"/>
      <c r="S15" s="14"/>
      <c r="T15" s="14"/>
      <c r="U15" s="14"/>
      <c r="V15" s="14"/>
      <c r="W15" s="14"/>
      <c r="X15" s="14"/>
      <c r="Y15" s="243"/>
      <c r="Z15" s="243"/>
      <c r="AA15" s="243"/>
      <c r="AB15" s="243"/>
      <c r="AC15" s="243"/>
      <c r="AD15" s="14"/>
      <c r="AE15" s="246"/>
      <c r="AF15" s="14"/>
      <c r="AG15" s="14"/>
      <c r="AH15" s="14"/>
      <c r="AI15" s="14"/>
    </row>
    <row r="16" spans="1:41" s="116" customFormat="1" ht="20.100000000000001" customHeight="1">
      <c r="A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241"/>
      <c r="Q16" s="14"/>
      <c r="R16" s="14"/>
      <c r="S16" s="14"/>
      <c r="T16" s="14"/>
      <c r="U16" s="14"/>
      <c r="V16" s="14"/>
      <c r="W16" s="14"/>
      <c r="X16" s="14"/>
      <c r="Y16" s="243"/>
      <c r="Z16" s="243"/>
      <c r="AA16" s="243"/>
      <c r="AB16" s="243"/>
      <c r="AC16" s="243"/>
      <c r="AD16" s="244"/>
      <c r="AE16" s="244"/>
      <c r="AF16" s="14"/>
      <c r="AG16" s="14"/>
      <c r="AH16" s="14"/>
      <c r="AI16" s="14"/>
    </row>
    <row r="17" spans="1:35" s="116" customFormat="1" ht="20.100000000000001" customHeight="1">
      <c r="A17" s="14"/>
      <c r="C17" s="14">
        <v>1409613427</v>
      </c>
      <c r="D17" s="14" t="s">
        <v>185</v>
      </c>
      <c r="E17" s="14" t="str">
        <f t="shared" si="0"/>
        <v>https://m.place.naver.com/place/1409613427/home</v>
      </c>
      <c r="F17" s="14">
        <v>100</v>
      </c>
      <c r="G17" s="14"/>
      <c r="H17" s="14">
        <v>100</v>
      </c>
      <c r="I17" s="14"/>
      <c r="J17" s="14"/>
      <c r="K17" s="14"/>
      <c r="L17" s="14"/>
      <c r="M17" s="14"/>
      <c r="N17" s="14"/>
      <c r="O17" s="14"/>
      <c r="P17" s="241"/>
      <c r="Q17" s="14">
        <v>100</v>
      </c>
      <c r="R17" s="14"/>
      <c r="S17" s="14"/>
      <c r="T17" s="14"/>
      <c r="U17" s="14"/>
      <c r="V17" s="14"/>
      <c r="W17" s="14"/>
      <c r="X17" s="14"/>
      <c r="Y17" s="243"/>
      <c r="Z17" s="243"/>
      <c r="AA17" s="243"/>
      <c r="AB17" s="243"/>
      <c r="AC17" s="243"/>
      <c r="AD17" s="14"/>
      <c r="AE17" s="14"/>
      <c r="AF17" s="14"/>
      <c r="AG17" s="14"/>
      <c r="AH17" s="14"/>
      <c r="AI17" s="14"/>
    </row>
    <row r="18" spans="1:35" s="116" customFormat="1" ht="20.100000000000001" customHeight="1">
      <c r="A18" s="14"/>
      <c r="C18" s="14">
        <v>36073217</v>
      </c>
      <c r="D18" s="14" t="s">
        <v>400</v>
      </c>
      <c r="E18" s="14" t="str">
        <f t="shared" si="0"/>
        <v>https://m.place.naver.com/place/36073217/home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241"/>
      <c r="Q18" s="14"/>
      <c r="R18" s="14"/>
      <c r="S18" s="14"/>
      <c r="T18" s="14"/>
      <c r="U18" s="14"/>
      <c r="V18" s="14"/>
      <c r="W18" s="14"/>
      <c r="X18" s="14"/>
      <c r="Y18" s="243"/>
      <c r="Z18" s="243"/>
      <c r="AA18" s="243"/>
      <c r="AB18" s="243"/>
      <c r="AC18" s="243"/>
      <c r="AD18" s="14"/>
      <c r="AE18" s="14"/>
      <c r="AF18" s="14"/>
      <c r="AG18" s="14"/>
      <c r="AH18" s="14"/>
      <c r="AI18" s="14"/>
    </row>
    <row r="19" spans="1:35" s="116" customFormat="1" ht="20.100000000000001" customHeight="1">
      <c r="A19" s="14"/>
      <c r="C19" s="14">
        <v>1997864570</v>
      </c>
      <c r="D19" s="14" t="s">
        <v>580</v>
      </c>
      <c r="E19" s="14" t="s">
        <v>579</v>
      </c>
      <c r="F19" s="14">
        <v>150</v>
      </c>
      <c r="G19" s="14"/>
      <c r="H19" s="14">
        <v>150</v>
      </c>
      <c r="I19" s="14"/>
      <c r="J19" s="14"/>
      <c r="K19" s="14"/>
      <c r="L19" s="14"/>
      <c r="M19" s="14"/>
      <c r="N19" s="14"/>
      <c r="O19" s="14"/>
      <c r="P19" s="241"/>
      <c r="Q19" s="14">
        <v>100</v>
      </c>
      <c r="R19" s="14"/>
      <c r="S19" s="14"/>
      <c r="T19" s="14"/>
      <c r="U19" s="14"/>
      <c r="V19" s="14"/>
      <c r="W19" s="14"/>
      <c r="X19" s="14"/>
      <c r="Y19" s="243"/>
      <c r="Z19" s="243"/>
      <c r="AA19" s="243"/>
      <c r="AB19" s="243"/>
      <c r="AC19" s="243"/>
      <c r="AD19" s="244"/>
      <c r="AE19" s="244"/>
      <c r="AF19" s="14"/>
      <c r="AG19" s="14"/>
      <c r="AH19" s="14"/>
      <c r="AI19" s="14"/>
    </row>
    <row r="20" spans="1:35" s="116" customFormat="1" ht="20.100000000000001" customHeight="1">
      <c r="A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241"/>
      <c r="Q20" s="14"/>
      <c r="R20" s="14"/>
      <c r="S20" s="14"/>
      <c r="T20" s="14"/>
      <c r="U20" s="14"/>
      <c r="V20" s="14"/>
      <c r="W20" s="14"/>
      <c r="X20" s="14"/>
      <c r="Y20" s="243"/>
      <c r="Z20" s="243"/>
      <c r="AA20" s="243"/>
      <c r="AB20" s="243"/>
      <c r="AC20" s="243"/>
      <c r="AD20" s="244"/>
      <c r="AE20" s="244"/>
      <c r="AF20" s="14"/>
      <c r="AG20" s="14"/>
      <c r="AH20" s="14"/>
      <c r="AI20" s="14"/>
    </row>
    <row r="21" spans="1:35" s="116" customFormat="1" ht="20.100000000000001" customHeight="1">
      <c r="A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41"/>
      <c r="Q21" s="14"/>
      <c r="R21" s="14"/>
      <c r="S21" s="14"/>
      <c r="T21" s="14"/>
      <c r="U21" s="14"/>
      <c r="V21" s="14"/>
      <c r="W21" s="14"/>
      <c r="X21" s="14"/>
      <c r="Y21" s="243"/>
      <c r="Z21" s="243"/>
      <c r="AA21" s="243"/>
      <c r="AB21" s="243"/>
      <c r="AC21" s="243"/>
      <c r="AD21" s="244"/>
      <c r="AE21" s="244"/>
      <c r="AF21" s="14"/>
      <c r="AG21" s="14"/>
      <c r="AH21" s="14"/>
      <c r="AI21" s="14"/>
    </row>
    <row r="22" spans="1:35" s="116" customFormat="1" ht="19.5" customHeight="1">
      <c r="A22" s="14"/>
      <c r="C22">
        <v>1839268518</v>
      </c>
      <c r="D22" t="s">
        <v>391</v>
      </c>
      <c r="E22" s="14" t="s">
        <v>392</v>
      </c>
      <c r="F22" s="14"/>
      <c r="G22" s="14"/>
      <c r="H22" s="14"/>
      <c r="I22" s="14"/>
      <c r="J22" s="14"/>
      <c r="K22" s="14"/>
      <c r="L22" s="14"/>
      <c r="M22"/>
      <c r="N22" s="14"/>
      <c r="O22" s="14"/>
      <c r="P22" s="241"/>
      <c r="Q22" s="14"/>
      <c r="R22" s="14"/>
      <c r="S22" s="14"/>
      <c r="T22" s="14"/>
      <c r="U22" s="14"/>
      <c r="V22" s="14"/>
      <c r="W22" s="14"/>
      <c r="X22" s="14"/>
      <c r="Y22" s="243"/>
      <c r="Z22" s="243"/>
      <c r="AA22" s="243"/>
      <c r="AB22" s="243"/>
      <c r="AC22" s="243"/>
      <c r="AD22" s="244"/>
      <c r="AE22" s="244"/>
      <c r="AF22" s="14"/>
      <c r="AG22" s="14"/>
      <c r="AH22" s="14"/>
      <c r="AI22" s="14"/>
    </row>
    <row r="23" spans="1:35" s="116" customFormat="1" ht="20.100000000000001" customHeight="1">
      <c r="A23" s="14"/>
      <c r="C23">
        <v>1509576334</v>
      </c>
      <c r="D23" t="s">
        <v>575</v>
      </c>
      <c r="E23" s="14" t="s">
        <v>531</v>
      </c>
      <c r="F23" s="14"/>
      <c r="G23" s="14"/>
      <c r="H23" s="14"/>
      <c r="I23" s="14"/>
      <c r="J23" s="14"/>
      <c r="K23" s="14"/>
      <c r="L23" s="14"/>
      <c r="M23"/>
      <c r="N23" s="14"/>
      <c r="O23" s="14"/>
      <c r="P23" s="241"/>
      <c r="Q23" s="14"/>
      <c r="R23" s="14"/>
      <c r="S23" s="14"/>
      <c r="T23" s="14"/>
      <c r="U23" s="14"/>
      <c r="V23" s="14"/>
      <c r="W23" s="14"/>
      <c r="X23" s="14"/>
      <c r="Y23" s="243"/>
      <c r="Z23" s="243"/>
      <c r="AA23" s="243"/>
      <c r="AB23" s="243"/>
      <c r="AC23" s="243"/>
      <c r="AD23" s="244"/>
      <c r="AE23" s="244"/>
      <c r="AF23" s="14"/>
      <c r="AG23" s="14"/>
      <c r="AH23" s="14"/>
      <c r="AI23" s="14"/>
    </row>
    <row r="24" spans="1:35" s="116" customFormat="1" ht="20.100000000000001" customHeight="1">
      <c r="A24" s="14"/>
      <c r="C24">
        <v>1632138788</v>
      </c>
      <c r="D24" t="s">
        <v>559</v>
      </c>
      <c r="E24" s="14" t="s">
        <v>530</v>
      </c>
      <c r="F24" s="14"/>
      <c r="G24" s="14"/>
      <c r="H24" s="14"/>
      <c r="I24" s="14"/>
      <c r="J24" s="14"/>
      <c r="K24" s="14"/>
      <c r="L24" s="14"/>
      <c r="M24"/>
      <c r="N24" s="14"/>
      <c r="O24" s="14"/>
      <c r="P24" s="241"/>
      <c r="Q24" s="14"/>
      <c r="R24" s="14"/>
      <c r="S24" s="14"/>
      <c r="T24" s="14"/>
      <c r="U24" s="14"/>
      <c r="V24" s="14"/>
      <c r="W24" s="14"/>
      <c r="X24" s="14"/>
      <c r="Y24" s="243"/>
      <c r="Z24" s="243"/>
      <c r="AA24" s="243"/>
      <c r="AB24" s="243"/>
      <c r="AC24" s="243"/>
      <c r="AD24" s="244"/>
      <c r="AE24" s="244"/>
      <c r="AF24" s="14"/>
      <c r="AG24" s="14"/>
      <c r="AH24" s="14"/>
      <c r="AI24" s="14"/>
    </row>
    <row r="25" spans="1:35" s="116" customFormat="1" ht="20.100000000000001" customHeight="1">
      <c r="A25" s="14"/>
      <c r="C25">
        <v>1872013382</v>
      </c>
      <c r="D25" t="s">
        <v>449</v>
      </c>
      <c r="E25" s="14" t="s">
        <v>547</v>
      </c>
      <c r="F25" s="14"/>
      <c r="G25" s="14"/>
      <c r="H25" s="14"/>
      <c r="I25" s="14"/>
      <c r="J25" s="14"/>
      <c r="K25" s="14"/>
      <c r="L25" s="14"/>
      <c r="M25"/>
      <c r="N25" s="14"/>
      <c r="O25" s="14"/>
      <c r="P25" s="241"/>
      <c r="Q25" s="14"/>
      <c r="R25" s="14"/>
      <c r="S25" s="14"/>
      <c r="T25" s="14"/>
      <c r="U25" s="14"/>
      <c r="V25" s="14"/>
      <c r="W25" s="14"/>
      <c r="X25" s="14"/>
      <c r="Y25" s="243"/>
      <c r="Z25" s="243"/>
      <c r="AA25" s="243"/>
      <c r="AB25" s="243"/>
      <c r="AC25" s="243"/>
      <c r="AD25" s="244"/>
      <c r="AE25" s="244"/>
      <c r="AF25" s="14"/>
      <c r="AG25" s="14"/>
      <c r="AH25" s="14"/>
      <c r="AI25" s="14"/>
    </row>
    <row r="26" spans="1:35" s="116" customFormat="1" ht="20.100000000000001" customHeight="1">
      <c r="A26" s="14"/>
      <c r="C26">
        <v>1287821286</v>
      </c>
      <c r="D26" t="s">
        <v>555</v>
      </c>
      <c r="E26" s="14" t="s">
        <v>265</v>
      </c>
      <c r="F26" s="14"/>
      <c r="G26" s="14"/>
      <c r="H26" s="14"/>
      <c r="I26" s="14"/>
      <c r="J26" s="14"/>
      <c r="K26" s="14"/>
      <c r="L26" s="14"/>
      <c r="M26"/>
      <c r="N26" s="14"/>
      <c r="O26" s="14"/>
      <c r="P26" s="241"/>
      <c r="Q26" s="14"/>
      <c r="R26" s="14"/>
      <c r="S26" s="14"/>
      <c r="T26" s="14"/>
      <c r="U26" s="14"/>
      <c r="V26" s="14"/>
      <c r="W26" s="14"/>
      <c r="X26" s="14"/>
      <c r="Y26" s="243"/>
      <c r="Z26" s="243"/>
      <c r="AA26" s="243"/>
      <c r="AB26" s="243"/>
      <c r="AC26" s="243"/>
      <c r="AD26" s="244"/>
      <c r="AE26" s="244"/>
      <c r="AF26" s="14"/>
      <c r="AG26" s="14"/>
      <c r="AH26" s="14"/>
      <c r="AI26" s="14"/>
    </row>
    <row r="27" spans="1:35" s="116" customFormat="1" ht="20.100000000000001" customHeight="1">
      <c r="A27" s="14"/>
      <c r="C27">
        <v>1201249206</v>
      </c>
      <c r="D27" t="s">
        <v>352</v>
      </c>
      <c r="E27" s="14" t="s">
        <v>394</v>
      </c>
      <c r="F27" s="14"/>
      <c r="G27" s="14"/>
      <c r="H27" s="14"/>
      <c r="I27" s="14"/>
      <c r="J27" s="14"/>
      <c r="K27" s="14"/>
      <c r="L27" s="14"/>
      <c r="M27"/>
      <c r="N27" s="14"/>
      <c r="O27" s="14"/>
      <c r="P27" s="241"/>
      <c r="Q27" s="14"/>
      <c r="R27" s="14"/>
      <c r="S27" s="14"/>
      <c r="T27" s="14"/>
      <c r="U27" s="14"/>
      <c r="V27" s="14"/>
      <c r="W27" s="14"/>
      <c r="X27" s="14"/>
      <c r="Y27" s="243"/>
      <c r="Z27" s="243"/>
      <c r="AA27" s="243"/>
      <c r="AB27" s="243"/>
      <c r="AC27" s="243"/>
      <c r="AD27" s="244"/>
      <c r="AE27" s="244"/>
      <c r="AF27" s="14"/>
      <c r="AG27" s="14"/>
      <c r="AH27" s="14"/>
      <c r="AI27" s="14"/>
    </row>
    <row r="28" spans="1:35" s="116" customFormat="1" ht="20.100000000000001" customHeight="1">
      <c r="A28" s="14"/>
      <c r="C28">
        <v>32507602</v>
      </c>
      <c r="D28" t="s">
        <v>576</v>
      </c>
      <c r="E28" s="14" t="s">
        <v>577</v>
      </c>
      <c r="F28" s="14"/>
      <c r="G28" s="14"/>
      <c r="H28" s="14"/>
      <c r="I28" s="14"/>
      <c r="J28" s="14"/>
      <c r="K28" s="14"/>
      <c r="L28" s="14"/>
      <c r="M28"/>
      <c r="N28" s="14"/>
      <c r="O28" s="14"/>
      <c r="P28" s="241"/>
      <c r="Q28" s="14"/>
      <c r="R28" s="14"/>
      <c r="S28" s="14"/>
      <c r="T28" s="14"/>
      <c r="U28" s="14"/>
      <c r="V28" s="14"/>
      <c r="W28" s="14"/>
      <c r="X28" s="14"/>
      <c r="Y28" s="243"/>
      <c r="Z28" s="243"/>
      <c r="AA28" s="243"/>
      <c r="AB28" s="243"/>
      <c r="AC28" s="243"/>
      <c r="AD28" s="244"/>
      <c r="AE28" s="244"/>
      <c r="AF28" s="14"/>
      <c r="AG28" s="14"/>
      <c r="AH28" s="14"/>
      <c r="AI28" s="14"/>
    </row>
    <row r="29" spans="1:35" s="271" customFormat="1" ht="20.100000000000001" customHeight="1">
      <c r="A29" s="272"/>
      <c r="C29" s="272"/>
      <c r="D29" s="272"/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2"/>
      <c r="P29" s="273"/>
      <c r="Q29" s="272"/>
      <c r="R29" s="272"/>
      <c r="S29" s="272"/>
      <c r="T29" s="272"/>
      <c r="U29" s="272"/>
      <c r="V29" s="272"/>
      <c r="W29" s="272"/>
      <c r="X29" s="272"/>
      <c r="Y29" s="274"/>
      <c r="Z29" s="274"/>
      <c r="AA29" s="274"/>
      <c r="AB29" s="274"/>
      <c r="AC29" s="274"/>
      <c r="AD29" s="272"/>
      <c r="AE29" s="272"/>
      <c r="AF29" s="272"/>
      <c r="AG29" s="272"/>
      <c r="AH29" s="272"/>
      <c r="AI29" s="272"/>
    </row>
    <row r="30" spans="1:35" s="116" customFormat="1" ht="20.100000000000001" customHeight="1">
      <c r="A30" s="14"/>
      <c r="B30" s="284">
        <v>46017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241"/>
      <c r="Q30" s="14"/>
      <c r="R30" s="14"/>
      <c r="S30" s="14"/>
      <c r="T30" s="14"/>
      <c r="U30" s="14"/>
      <c r="V30" s="14"/>
      <c r="W30" s="14"/>
      <c r="X30" s="14"/>
      <c r="Y30" s="243"/>
      <c r="Z30" s="243"/>
      <c r="AA30" s="243"/>
      <c r="AB30" s="243"/>
      <c r="AC30" s="243"/>
      <c r="AD30" s="14"/>
      <c r="AE30" s="14"/>
      <c r="AF30" s="14"/>
      <c r="AG30" s="14"/>
      <c r="AH30" s="14"/>
      <c r="AI30" s="14"/>
    </row>
    <row r="31" spans="1:35" s="116" customFormat="1" ht="20.100000000000001" customHeight="1">
      <c r="A31" s="14"/>
      <c r="B31" s="284"/>
      <c r="C31" s="14">
        <v>1091056146</v>
      </c>
      <c r="D31" s="14" t="s">
        <v>515</v>
      </c>
      <c r="E31" s="14" t="s">
        <v>552</v>
      </c>
      <c r="F31" s="14">
        <v>200</v>
      </c>
      <c r="G31" s="14"/>
      <c r="H31" s="14"/>
      <c r="I31" s="14"/>
      <c r="J31" s="14"/>
      <c r="K31" s="14"/>
      <c r="L31" s="14"/>
      <c r="M31" s="14"/>
      <c r="N31" s="14"/>
      <c r="O31" s="14"/>
      <c r="P31" s="241"/>
      <c r="Q31" s="14"/>
      <c r="R31" s="14"/>
      <c r="S31" s="14">
        <v>100</v>
      </c>
      <c r="T31" s="14"/>
      <c r="U31" s="14"/>
      <c r="V31" s="14"/>
      <c r="W31" s="14"/>
      <c r="X31" s="14"/>
      <c r="Y31" s="243"/>
      <c r="Z31" s="243"/>
      <c r="AA31" s="243"/>
      <c r="AB31" s="243"/>
      <c r="AC31" s="243"/>
      <c r="AD31" s="14"/>
      <c r="AE31" s="14"/>
      <c r="AF31" s="14"/>
      <c r="AG31" s="14"/>
      <c r="AH31" s="14"/>
      <c r="AI31" s="14"/>
    </row>
    <row r="32" spans="1:35" s="116" customFormat="1" ht="20.100000000000001" customHeight="1">
      <c r="A32" s="14"/>
      <c r="C32" s="14">
        <v>36536114</v>
      </c>
      <c r="D32" s="14" t="s">
        <v>517</v>
      </c>
      <c r="E32" s="14" t="s">
        <v>526</v>
      </c>
      <c r="F32" s="14">
        <v>200</v>
      </c>
      <c r="G32" s="14"/>
      <c r="H32" s="14"/>
      <c r="I32" s="14"/>
      <c r="J32" s="14"/>
      <c r="K32" s="14"/>
      <c r="L32" s="14"/>
      <c r="M32" s="14"/>
      <c r="N32" s="14"/>
      <c r="O32" s="14"/>
      <c r="P32" s="241"/>
      <c r="Q32" s="14"/>
      <c r="R32" s="14"/>
      <c r="S32" s="14">
        <v>100</v>
      </c>
      <c r="T32" s="14"/>
      <c r="U32" s="14"/>
      <c r="V32" s="14"/>
      <c r="W32" s="14"/>
      <c r="X32" s="14"/>
      <c r="Y32" s="243"/>
      <c r="Z32" s="243"/>
      <c r="AA32" s="243"/>
      <c r="AB32" s="243"/>
      <c r="AC32" s="243"/>
      <c r="AD32" s="14"/>
      <c r="AE32" s="14"/>
      <c r="AF32" s="14"/>
      <c r="AG32" s="14"/>
      <c r="AH32" s="14"/>
      <c r="AI32" s="14"/>
    </row>
    <row r="33" spans="1:35" s="116" customFormat="1" ht="20.100000000000001" customHeight="1">
      <c r="A33" s="14"/>
      <c r="C33" s="14">
        <v>1029063503</v>
      </c>
      <c r="D33" s="14" t="s">
        <v>516</v>
      </c>
      <c r="E33" s="14" t="s">
        <v>527</v>
      </c>
      <c r="F33" s="14"/>
      <c r="G33" s="14"/>
      <c r="H33" s="14">
        <v>300</v>
      </c>
      <c r="I33" s="286">
        <v>300</v>
      </c>
      <c r="J33" s="14"/>
      <c r="K33" s="14"/>
      <c r="L33" s="14"/>
      <c r="M33" s="14"/>
      <c r="N33" s="14"/>
      <c r="O33" s="14"/>
      <c r="P33" s="241"/>
      <c r="Q33" s="14"/>
      <c r="R33" s="14"/>
      <c r="S33" s="14">
        <v>100</v>
      </c>
      <c r="T33" s="14"/>
      <c r="U33" s="14"/>
      <c r="V33" s="14"/>
      <c r="W33" s="14"/>
      <c r="X33" s="14"/>
      <c r="Y33" s="243"/>
      <c r="Z33" s="243"/>
      <c r="AA33" s="243"/>
      <c r="AB33" s="243"/>
      <c r="AC33" s="243"/>
      <c r="AD33" s="14"/>
      <c r="AE33" s="14"/>
      <c r="AF33" s="14"/>
      <c r="AG33" s="14"/>
      <c r="AH33" s="14"/>
      <c r="AI33" s="14"/>
    </row>
    <row r="34" spans="1:35" s="116" customFormat="1" ht="20.100000000000001" customHeight="1">
      <c r="A34" s="14"/>
      <c r="C34" s="14">
        <v>1814512864</v>
      </c>
      <c r="D34" s="14" t="s">
        <v>514</v>
      </c>
      <c r="E34" s="14" t="s">
        <v>570</v>
      </c>
      <c r="F34" s="14"/>
      <c r="G34" s="14"/>
      <c r="H34" s="14">
        <v>100</v>
      </c>
      <c r="I34" s="14"/>
      <c r="J34" s="14"/>
      <c r="K34" s="14"/>
      <c r="L34" s="14"/>
      <c r="M34" s="14"/>
      <c r="N34" s="14"/>
      <c r="O34" s="14"/>
      <c r="P34" s="241"/>
      <c r="Q34" s="14"/>
      <c r="R34" s="14"/>
      <c r="S34" s="14">
        <v>100</v>
      </c>
      <c r="T34" s="14"/>
      <c r="U34" s="14"/>
      <c r="V34" s="14"/>
      <c r="W34" s="14"/>
      <c r="X34" s="14"/>
      <c r="Y34" s="243"/>
      <c r="Z34" s="243"/>
      <c r="AA34" s="243"/>
      <c r="AB34" s="243"/>
      <c r="AC34" s="243"/>
      <c r="AD34" s="14"/>
      <c r="AE34" s="14"/>
      <c r="AF34" s="14"/>
      <c r="AG34" s="14"/>
      <c r="AH34" s="14"/>
      <c r="AI34" s="14"/>
    </row>
    <row r="35" spans="1:35" s="116" customFormat="1" ht="20.100000000000001" customHeight="1">
      <c r="A35" s="14"/>
      <c r="C35" s="14">
        <v>1864889927</v>
      </c>
      <c r="D35" s="14" t="s">
        <v>513</v>
      </c>
      <c r="E35" s="14" t="s">
        <v>571</v>
      </c>
      <c r="F35" s="14"/>
      <c r="G35" s="14"/>
      <c r="H35" s="14">
        <v>100</v>
      </c>
      <c r="I35" s="14"/>
      <c r="J35" s="14"/>
      <c r="K35" s="14"/>
      <c r="L35" s="14"/>
      <c r="M35" s="14"/>
      <c r="N35" s="14"/>
      <c r="O35" s="14"/>
      <c r="P35" s="241"/>
      <c r="Q35" s="14"/>
      <c r="R35" s="14"/>
      <c r="S35" s="14">
        <v>100</v>
      </c>
      <c r="T35" s="14"/>
      <c r="U35" s="14"/>
      <c r="V35" s="14"/>
      <c r="W35" s="14"/>
      <c r="X35" s="14"/>
      <c r="Y35" s="243"/>
      <c r="Z35" s="243"/>
      <c r="AA35" s="243"/>
      <c r="AB35" s="243"/>
      <c r="AC35" s="243"/>
      <c r="AD35" s="14"/>
      <c r="AE35" s="14"/>
      <c r="AF35" s="14"/>
      <c r="AG35" s="14"/>
      <c r="AH35" s="14"/>
      <c r="AI35" s="14"/>
    </row>
    <row r="36" spans="1:35" s="116" customFormat="1" ht="20.100000000000001" customHeight="1">
      <c r="A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241"/>
      <c r="Q36" s="14"/>
      <c r="R36" s="14"/>
      <c r="S36" s="14"/>
      <c r="T36" s="14"/>
      <c r="U36" s="14"/>
      <c r="V36" s="14"/>
      <c r="W36" s="14"/>
      <c r="X36" s="14"/>
      <c r="Y36" s="243"/>
      <c r="Z36" s="243"/>
      <c r="AA36" s="243"/>
      <c r="AB36" s="243"/>
      <c r="AC36" s="243"/>
      <c r="AD36" s="14"/>
      <c r="AE36" s="14"/>
      <c r="AF36" s="14"/>
      <c r="AG36" s="14"/>
      <c r="AH36" s="14"/>
      <c r="AI36" s="14"/>
    </row>
    <row r="37" spans="1:35" s="116" customFormat="1" ht="20.100000000000001" customHeight="1">
      <c r="A37" s="14"/>
      <c r="C37" s="14">
        <v>1848049619</v>
      </c>
      <c r="D37" s="14" t="s">
        <v>582</v>
      </c>
      <c r="E37" s="14" t="s">
        <v>583</v>
      </c>
      <c r="F37" s="14"/>
      <c r="G37" s="14"/>
      <c r="H37" s="14">
        <v>200</v>
      </c>
      <c r="I37" s="14"/>
      <c r="J37" s="14"/>
      <c r="K37" s="14"/>
      <c r="L37" s="14"/>
      <c r="M37" s="14"/>
      <c r="N37" s="14"/>
      <c r="O37" s="14"/>
      <c r="P37" s="241"/>
      <c r="Q37" s="14"/>
      <c r="R37" s="14"/>
      <c r="S37" s="14">
        <v>100</v>
      </c>
      <c r="T37" s="14"/>
      <c r="U37" s="14"/>
      <c r="V37" s="14"/>
      <c r="W37" s="14"/>
      <c r="X37" s="14"/>
      <c r="Y37" s="243"/>
      <c r="Z37" s="243"/>
      <c r="AA37" s="243"/>
      <c r="AB37" s="243"/>
      <c r="AC37" s="243"/>
      <c r="AD37" s="14"/>
      <c r="AE37" s="14"/>
      <c r="AF37" s="14"/>
      <c r="AG37" s="14"/>
      <c r="AH37" s="14"/>
      <c r="AI37" s="14"/>
    </row>
    <row r="38" spans="1:35" s="116" customFormat="1" ht="20.100000000000001" customHeight="1">
      <c r="A38" s="14"/>
      <c r="C38" s="14">
        <v>1165597556</v>
      </c>
      <c r="D38" s="14" t="s">
        <v>597</v>
      </c>
      <c r="E38" s="14" t="s">
        <v>520</v>
      </c>
      <c r="F38" s="14"/>
      <c r="G38" s="14"/>
      <c r="H38" s="14">
        <v>300</v>
      </c>
      <c r="I38" s="14"/>
      <c r="J38" s="14"/>
      <c r="K38" s="14"/>
      <c r="L38" s="14"/>
      <c r="M38" s="14"/>
      <c r="N38" s="14"/>
      <c r="O38" s="14"/>
      <c r="P38" s="241"/>
      <c r="Q38" s="14"/>
      <c r="R38" s="14"/>
      <c r="S38" s="14">
        <v>100</v>
      </c>
      <c r="T38" s="14"/>
      <c r="U38" s="14"/>
      <c r="V38" s="14"/>
      <c r="W38" s="14"/>
      <c r="X38" s="14"/>
      <c r="Y38" s="243"/>
      <c r="Z38" s="243"/>
      <c r="AA38" s="243"/>
      <c r="AB38" s="243"/>
      <c r="AC38" s="243"/>
      <c r="AD38" s="14"/>
      <c r="AE38" s="14"/>
      <c r="AF38" s="14"/>
      <c r="AG38" s="14"/>
      <c r="AH38" s="14"/>
      <c r="AI38" s="14"/>
    </row>
    <row r="39" spans="1:35" s="116" customFormat="1" ht="20.100000000000001" customHeight="1">
      <c r="A39" s="14"/>
      <c r="C39" s="14">
        <v>267802526</v>
      </c>
      <c r="D39" s="14" t="s">
        <v>590</v>
      </c>
      <c r="E39" s="14" t="s">
        <v>521</v>
      </c>
      <c r="F39" s="14"/>
      <c r="G39" s="14"/>
      <c r="H39" s="14">
        <v>400</v>
      </c>
      <c r="I39" s="14"/>
      <c r="J39" s="14"/>
      <c r="K39" s="14"/>
      <c r="L39" s="14"/>
      <c r="M39" s="14"/>
      <c r="N39" s="14"/>
      <c r="O39" s="14"/>
      <c r="P39" s="241"/>
      <c r="Q39" s="14"/>
      <c r="R39" s="14"/>
      <c r="S39" s="14"/>
      <c r="T39" s="14"/>
      <c r="U39" s="14"/>
      <c r="V39" s="14"/>
      <c r="W39" s="14"/>
      <c r="X39" s="14"/>
      <c r="Y39" s="243"/>
      <c r="Z39" s="243"/>
      <c r="AA39" s="243"/>
      <c r="AB39" s="243"/>
      <c r="AC39" s="243"/>
      <c r="AD39" s="14"/>
      <c r="AE39" s="14"/>
      <c r="AF39" s="14"/>
      <c r="AG39" s="14"/>
      <c r="AH39" s="14"/>
      <c r="AI39" s="14"/>
    </row>
    <row r="40" spans="1:35" s="116" customFormat="1" ht="20.100000000000001" customHeight="1">
      <c r="A40" s="14"/>
      <c r="C40" s="14">
        <v>1108685948</v>
      </c>
      <c r="D40" s="14" t="s">
        <v>323</v>
      </c>
      <c r="E40" s="14" t="s">
        <v>416</v>
      </c>
      <c r="F40" s="14">
        <v>300</v>
      </c>
      <c r="G40" s="14"/>
      <c r="H40" s="14"/>
      <c r="I40" s="14"/>
      <c r="J40" s="14"/>
      <c r="K40" s="14"/>
      <c r="L40" s="14"/>
      <c r="M40" s="14"/>
      <c r="N40" s="14"/>
      <c r="O40" s="14"/>
      <c r="P40" s="241"/>
      <c r="Q40" s="14"/>
      <c r="R40" s="14"/>
      <c r="S40" s="14"/>
      <c r="T40" s="14"/>
      <c r="U40" s="14"/>
      <c r="V40" s="14"/>
      <c r="W40" s="14">
        <v>5</v>
      </c>
      <c r="X40" s="14"/>
      <c r="Y40" s="243"/>
      <c r="Z40" s="243"/>
      <c r="AA40" s="243"/>
      <c r="AB40" s="243"/>
      <c r="AC40" s="243"/>
      <c r="AD40" s="14"/>
      <c r="AE40" s="14"/>
      <c r="AF40" s="14"/>
      <c r="AG40" s="14"/>
      <c r="AH40" s="14"/>
      <c r="AI40" s="14"/>
    </row>
    <row r="41" spans="1:35" s="116" customFormat="1" ht="20.100000000000001" customHeight="1">
      <c r="A41" s="14"/>
      <c r="C41" s="14">
        <v>1726182684</v>
      </c>
      <c r="D41" s="14" t="s">
        <v>539</v>
      </c>
      <c r="E41" s="14" t="s">
        <v>546</v>
      </c>
      <c r="F41" s="14">
        <v>100</v>
      </c>
      <c r="G41" s="14"/>
      <c r="H41" s="14"/>
      <c r="I41" s="14"/>
      <c r="J41" s="14"/>
      <c r="K41" s="14"/>
      <c r="L41" s="14"/>
      <c r="M41" s="14"/>
      <c r="N41" s="14"/>
      <c r="O41" s="14"/>
      <c r="P41" s="241"/>
      <c r="Q41" s="14"/>
      <c r="R41" s="14"/>
      <c r="S41" s="14"/>
      <c r="T41" s="14"/>
      <c r="U41" s="14"/>
      <c r="V41" s="14"/>
      <c r="W41" s="14"/>
      <c r="X41" s="14"/>
      <c r="Y41" s="243"/>
      <c r="Z41" s="243"/>
      <c r="AA41" s="243"/>
      <c r="AB41" s="243"/>
      <c r="AC41" s="243"/>
      <c r="AD41" s="244"/>
      <c r="AE41" s="244"/>
      <c r="AF41" s="14"/>
      <c r="AG41" s="14"/>
      <c r="AH41" s="14"/>
      <c r="AI41" s="14"/>
    </row>
    <row r="42" spans="1:35" s="116" customFormat="1" ht="20.100000000000001" customHeight="1">
      <c r="A42" s="14"/>
      <c r="C42" s="14">
        <v>1770334939</v>
      </c>
      <c r="D42" s="14" t="s">
        <v>592</v>
      </c>
      <c r="E42" s="14" t="s">
        <v>591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241"/>
      <c r="Q42" s="14"/>
      <c r="R42" s="14"/>
      <c r="S42" s="14">
        <v>100</v>
      </c>
      <c r="T42" s="14"/>
      <c r="U42" s="14"/>
      <c r="V42" s="14"/>
      <c r="W42" s="14"/>
      <c r="X42" s="14"/>
      <c r="Y42" s="243"/>
      <c r="Z42" s="243"/>
      <c r="AA42" s="243"/>
      <c r="AB42" s="243"/>
      <c r="AC42" s="243"/>
      <c r="AD42" s="244"/>
      <c r="AE42" s="244"/>
      <c r="AF42" s="14"/>
      <c r="AG42" s="14"/>
      <c r="AH42" s="14"/>
      <c r="AI42" s="14"/>
    </row>
    <row r="43" spans="1:35" s="116" customFormat="1" ht="20.100000000000001" customHeight="1">
      <c r="A43" s="14"/>
      <c r="C43" s="14">
        <v>2038302317</v>
      </c>
      <c r="D43" s="14" t="s">
        <v>594</v>
      </c>
      <c r="E43" s="14" t="s">
        <v>593</v>
      </c>
      <c r="F43" s="14"/>
      <c r="G43" s="14"/>
      <c r="H43" s="14">
        <v>300</v>
      </c>
      <c r="I43" s="14"/>
      <c r="J43" s="14"/>
      <c r="K43" s="14"/>
      <c r="L43" s="14"/>
      <c r="M43" s="14"/>
      <c r="N43" s="14"/>
      <c r="O43" s="14"/>
      <c r="P43" s="241"/>
      <c r="Q43" s="14"/>
      <c r="R43" s="14"/>
      <c r="S43" s="14">
        <v>100</v>
      </c>
      <c r="T43" s="14"/>
      <c r="U43" s="14"/>
      <c r="V43" s="14"/>
      <c r="W43" s="14"/>
      <c r="X43" s="14"/>
      <c r="Y43" s="243"/>
      <c r="Z43" s="243"/>
      <c r="AA43" s="243"/>
      <c r="AB43" s="243"/>
      <c r="AC43" s="243"/>
      <c r="AD43" s="244"/>
      <c r="AE43" s="244"/>
      <c r="AF43" s="14"/>
      <c r="AG43" s="14"/>
      <c r="AH43" s="14"/>
      <c r="AI43" s="14"/>
    </row>
    <row r="44" spans="1:35" s="116" customFormat="1" ht="20.100000000000001" customHeight="1">
      <c r="A44" s="14"/>
      <c r="C44" s="14">
        <v>1249534579</v>
      </c>
      <c r="D44" s="14" t="s">
        <v>595</v>
      </c>
      <c r="E44" s="14" t="s">
        <v>596</v>
      </c>
      <c r="F44" s="14"/>
      <c r="G44" s="14"/>
      <c r="H44" s="14">
        <v>200</v>
      </c>
      <c r="I44" s="14"/>
      <c r="J44" s="14"/>
      <c r="K44" s="14"/>
      <c r="L44" s="14"/>
      <c r="M44" s="14"/>
      <c r="N44" s="14"/>
      <c r="O44" s="14"/>
      <c r="P44" s="241"/>
      <c r="Q44" s="14"/>
      <c r="R44" s="14"/>
      <c r="S44" s="14">
        <v>100</v>
      </c>
      <c r="T44" s="14"/>
      <c r="U44" s="14"/>
      <c r="V44" s="14"/>
      <c r="W44" s="14"/>
      <c r="X44" s="14"/>
      <c r="Y44" s="243"/>
      <c r="Z44" s="243"/>
      <c r="AA44" s="243"/>
      <c r="AB44" s="243"/>
      <c r="AC44" s="243"/>
      <c r="AD44" s="244"/>
      <c r="AE44" s="244"/>
      <c r="AF44" s="14"/>
      <c r="AG44" s="14"/>
      <c r="AH44" s="14"/>
      <c r="AI44" s="14"/>
    </row>
    <row r="45" spans="1:35" s="116" customFormat="1" ht="20.100000000000001" customHeight="1">
      <c r="A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241"/>
      <c r="Q45" s="14"/>
      <c r="R45" s="14"/>
      <c r="S45" s="14"/>
      <c r="T45" s="14"/>
      <c r="U45" s="14"/>
      <c r="V45" s="14"/>
      <c r="W45" s="14"/>
      <c r="X45" s="14"/>
      <c r="Y45" s="243"/>
      <c r="Z45" s="243"/>
      <c r="AA45" s="243"/>
      <c r="AB45" s="243"/>
      <c r="AC45" s="243"/>
      <c r="AD45" s="244"/>
      <c r="AE45" s="244"/>
      <c r="AF45" s="14"/>
      <c r="AG45" s="14"/>
      <c r="AH45" s="14"/>
      <c r="AI45" s="14"/>
    </row>
    <row r="46" spans="1:35" s="116" customFormat="1" ht="20.100000000000001" customHeight="1">
      <c r="A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241"/>
      <c r="Q46" s="14"/>
      <c r="R46" s="14"/>
      <c r="S46" s="14"/>
      <c r="T46" s="14"/>
      <c r="U46" s="14"/>
      <c r="V46" s="14"/>
      <c r="W46" s="14"/>
      <c r="X46" s="14"/>
      <c r="Y46" s="243"/>
      <c r="Z46" s="243"/>
      <c r="AA46" s="243"/>
      <c r="AB46" s="243"/>
      <c r="AC46" s="243"/>
      <c r="AD46" s="244"/>
      <c r="AE46" s="244"/>
      <c r="AF46" s="14"/>
      <c r="AG46" s="14"/>
      <c r="AH46" s="14"/>
      <c r="AI46" s="14"/>
    </row>
    <row r="47" spans="1:35" s="116" customFormat="1" ht="20.100000000000001" customHeight="1">
      <c r="A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241"/>
      <c r="Q47" s="14"/>
      <c r="R47" s="14"/>
      <c r="S47" s="14"/>
      <c r="T47" s="14"/>
      <c r="U47" s="14"/>
      <c r="V47" s="14"/>
      <c r="W47" s="14"/>
      <c r="X47" s="14"/>
      <c r="Y47" s="243"/>
      <c r="Z47" s="243"/>
      <c r="AA47" s="243"/>
      <c r="AB47" s="243"/>
      <c r="AC47" s="243"/>
      <c r="AD47" s="244"/>
      <c r="AE47" s="244"/>
      <c r="AF47" s="14"/>
      <c r="AG47" s="14"/>
      <c r="AH47" s="14"/>
      <c r="AI47" s="14"/>
    </row>
    <row r="48" spans="1:35" s="116" customFormat="1" ht="20.100000000000001" customHeight="1">
      <c r="A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241"/>
      <c r="Q48" s="14"/>
      <c r="R48" s="14"/>
      <c r="S48" s="14"/>
      <c r="T48" s="14"/>
      <c r="U48" s="14"/>
      <c r="V48" s="14"/>
      <c r="W48" s="14"/>
      <c r="X48" s="14"/>
      <c r="Y48" s="243"/>
      <c r="Z48" s="243"/>
      <c r="AA48" s="243"/>
      <c r="AB48" s="243"/>
      <c r="AC48" s="243"/>
      <c r="AD48" s="14"/>
      <c r="AE48" s="14"/>
      <c r="AF48" s="14"/>
      <c r="AG48" s="14"/>
      <c r="AH48" s="14"/>
      <c r="AI48" s="14"/>
    </row>
    <row r="49" spans="1:35" s="116" customFormat="1" ht="20.100000000000001" customHeight="1">
      <c r="A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241"/>
      <c r="Q49" s="14"/>
      <c r="R49" s="14"/>
      <c r="S49" s="14"/>
      <c r="T49" s="14"/>
      <c r="U49" s="14"/>
      <c r="V49" s="14"/>
      <c r="W49" s="14"/>
      <c r="X49" s="14"/>
      <c r="Y49" s="243"/>
      <c r="Z49" s="243"/>
      <c r="AA49" s="243"/>
      <c r="AB49" s="243"/>
      <c r="AC49" s="243"/>
      <c r="AD49" s="14"/>
      <c r="AE49" s="14"/>
      <c r="AF49" s="14"/>
      <c r="AG49" s="14"/>
      <c r="AH49" s="14"/>
      <c r="AI49" s="14"/>
    </row>
    <row r="50" spans="1:35" s="116" customFormat="1" ht="20.100000000000001" customHeight="1">
      <c r="A50" s="14"/>
      <c r="C50" s="14">
        <v>1642603227</v>
      </c>
      <c r="D50" s="14" t="s">
        <v>211</v>
      </c>
      <c r="E50" s="14" t="s">
        <v>532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241"/>
      <c r="Q50" s="14"/>
      <c r="R50" s="14"/>
      <c r="S50" s="14"/>
      <c r="T50" s="14"/>
      <c r="U50" s="14">
        <v>5</v>
      </c>
      <c r="V50" s="14"/>
      <c r="W50" s="14"/>
      <c r="X50" s="14"/>
      <c r="Y50" s="243"/>
      <c r="Z50" s="243"/>
      <c r="AA50" s="243"/>
      <c r="AB50" s="243"/>
      <c r="AC50" s="243"/>
      <c r="AD50" s="14"/>
      <c r="AE50" s="14"/>
      <c r="AF50" s="14"/>
      <c r="AG50" s="14"/>
      <c r="AH50" s="14"/>
      <c r="AI50" s="14"/>
    </row>
    <row r="51" spans="1:35" s="116" customFormat="1" ht="20.100000000000001" customHeight="1">
      <c r="A51" s="14"/>
      <c r="C51" s="14">
        <v>1022013892</v>
      </c>
      <c r="D51" s="14" t="s">
        <v>554</v>
      </c>
      <c r="E51" s="14" t="s">
        <v>381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241"/>
      <c r="Q51" s="14"/>
      <c r="R51" s="14"/>
      <c r="S51" s="14"/>
      <c r="T51" s="14"/>
      <c r="U51" s="14">
        <v>7</v>
      </c>
      <c r="V51" s="14">
        <v>7</v>
      </c>
      <c r="W51" s="14"/>
      <c r="X51" s="14"/>
      <c r="Y51" s="243"/>
      <c r="Z51" s="243"/>
      <c r="AA51" s="243"/>
      <c r="AB51" s="243"/>
      <c r="AC51" s="243"/>
      <c r="AD51" s="14"/>
      <c r="AE51" s="14"/>
      <c r="AF51" s="14"/>
      <c r="AG51" s="14"/>
      <c r="AH51" s="14"/>
      <c r="AI51" s="14"/>
    </row>
    <row r="52" spans="1:35" s="116" customFormat="1" ht="20.100000000000001" customHeight="1">
      <c r="A52" s="14"/>
      <c r="C52" s="14">
        <v>1287821286</v>
      </c>
      <c r="D52" s="14" t="s">
        <v>555</v>
      </c>
      <c r="E52" s="14" t="s">
        <v>265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241"/>
      <c r="Q52" s="14"/>
      <c r="R52" s="14"/>
      <c r="S52" s="14"/>
      <c r="T52" s="14"/>
      <c r="U52" s="14">
        <v>5</v>
      </c>
      <c r="V52" s="14">
        <v>5</v>
      </c>
      <c r="W52" s="14"/>
      <c r="X52" s="14"/>
      <c r="Y52" s="243"/>
      <c r="Z52" s="243"/>
      <c r="AA52" s="243"/>
      <c r="AB52" s="243"/>
      <c r="AC52" s="243"/>
      <c r="AD52" s="14"/>
      <c r="AE52" s="14"/>
      <c r="AF52" s="14"/>
      <c r="AG52" s="14"/>
      <c r="AH52" s="14"/>
      <c r="AI52" s="14"/>
    </row>
    <row r="53" spans="1:35" s="116" customFormat="1" ht="20.100000000000001" customHeight="1">
      <c r="A53" s="14"/>
      <c r="C53" s="14">
        <v>1421207239</v>
      </c>
      <c r="D53" s="14" t="s">
        <v>556</v>
      </c>
      <c r="E53" s="14" t="s">
        <v>385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241"/>
      <c r="Q53" s="14"/>
      <c r="R53" s="14"/>
      <c r="S53" s="14"/>
      <c r="T53" s="14"/>
      <c r="U53" s="14"/>
      <c r="V53" s="14"/>
      <c r="W53" s="14"/>
      <c r="X53" s="14"/>
      <c r="Y53" s="243"/>
      <c r="Z53" s="243"/>
      <c r="AA53" s="243"/>
      <c r="AB53" s="243"/>
      <c r="AC53" s="243"/>
      <c r="AD53" s="14"/>
      <c r="AE53" s="14"/>
      <c r="AF53" s="14"/>
      <c r="AG53" s="14"/>
      <c r="AH53" s="14"/>
      <c r="AI53" s="14"/>
    </row>
    <row r="54" spans="1:35" s="116" customFormat="1" ht="20.100000000000001" customHeight="1">
      <c r="A54" s="14"/>
      <c r="C54" s="14">
        <v>1683089915</v>
      </c>
      <c r="D54" s="14" t="s">
        <v>557</v>
      </c>
      <c r="E54" s="14" t="s">
        <v>387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241"/>
      <c r="Q54" s="14"/>
      <c r="R54" s="14"/>
      <c r="S54" s="14"/>
      <c r="T54" s="14"/>
      <c r="U54" s="14">
        <v>5</v>
      </c>
      <c r="V54" s="14"/>
      <c r="W54" s="14"/>
      <c r="X54" s="14"/>
      <c r="Y54" s="243"/>
      <c r="Z54" s="243"/>
      <c r="AA54" s="243"/>
      <c r="AB54" s="243"/>
      <c r="AC54" s="243"/>
      <c r="AD54" s="14"/>
      <c r="AE54" s="14"/>
      <c r="AF54" s="14"/>
      <c r="AG54" s="14"/>
      <c r="AH54" s="14"/>
      <c r="AI54" s="14"/>
    </row>
    <row r="55" spans="1:35" s="116" customFormat="1" ht="20.100000000000001" customHeight="1">
      <c r="A55" s="14"/>
      <c r="C55" s="14">
        <v>2035334597</v>
      </c>
      <c r="D55" s="14" t="s">
        <v>205</v>
      </c>
      <c r="E55" s="14" t="s">
        <v>390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241"/>
      <c r="Q55" s="14"/>
      <c r="R55" s="14"/>
      <c r="S55" s="14"/>
      <c r="T55" s="14"/>
      <c r="U55" s="14">
        <v>5</v>
      </c>
      <c r="V55" s="14"/>
      <c r="W55" s="14"/>
      <c r="X55" s="14"/>
      <c r="Y55" s="243"/>
      <c r="Z55" s="243"/>
      <c r="AA55" s="243"/>
      <c r="AB55" s="243"/>
      <c r="AC55" s="243"/>
      <c r="AD55" s="14"/>
      <c r="AE55" s="14"/>
      <c r="AF55" s="14"/>
      <c r="AG55" s="14"/>
      <c r="AH55" s="14"/>
      <c r="AI55" s="14"/>
    </row>
    <row r="56" spans="1:35" s="116" customFormat="1" ht="20.100000000000001" customHeight="1">
      <c r="A56" s="14"/>
      <c r="C56" s="14">
        <v>1839268518</v>
      </c>
      <c r="D56" s="14" t="s">
        <v>558</v>
      </c>
      <c r="E56" s="14" t="s">
        <v>392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241"/>
      <c r="Q56" s="14"/>
      <c r="R56" s="14"/>
      <c r="S56" s="14"/>
      <c r="T56" s="14"/>
      <c r="U56" s="14">
        <v>10</v>
      </c>
      <c r="V56" s="14">
        <v>10</v>
      </c>
      <c r="W56" s="14"/>
      <c r="X56" s="14"/>
      <c r="Y56" s="243"/>
      <c r="Z56" s="243"/>
      <c r="AA56" s="243"/>
      <c r="AB56" s="243"/>
      <c r="AC56" s="243"/>
      <c r="AD56" s="14"/>
      <c r="AE56" s="14"/>
      <c r="AF56" s="14"/>
      <c r="AG56" s="14"/>
      <c r="AH56" s="14"/>
      <c r="AI56" s="14"/>
    </row>
    <row r="57" spans="1:35" s="116" customFormat="1" ht="20.100000000000001" customHeight="1">
      <c r="A57" s="14"/>
      <c r="C57" s="14">
        <v>1872013382</v>
      </c>
      <c r="D57" s="14" t="s">
        <v>449</v>
      </c>
      <c r="E57" s="14" t="s">
        <v>547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241"/>
      <c r="Q57" s="14"/>
      <c r="R57" s="14"/>
      <c r="S57" s="14"/>
      <c r="T57" s="14"/>
      <c r="U57" s="14">
        <v>10</v>
      </c>
      <c r="V57" s="14"/>
      <c r="W57" s="14"/>
      <c r="X57" s="14"/>
      <c r="Y57" s="243"/>
      <c r="Z57" s="243"/>
      <c r="AA57" s="243"/>
      <c r="AB57" s="243"/>
      <c r="AC57" s="243"/>
      <c r="AD57" s="14"/>
      <c r="AE57" s="14"/>
      <c r="AF57" s="14"/>
      <c r="AG57" s="14"/>
      <c r="AH57" s="14"/>
      <c r="AI57" s="14"/>
    </row>
    <row r="58" spans="1:35" s="116" customFormat="1" ht="20.100000000000001" customHeight="1">
      <c r="A58" s="14"/>
      <c r="C58" s="14">
        <v>1632138788</v>
      </c>
      <c r="D58" s="14" t="s">
        <v>559</v>
      </c>
      <c r="E58" s="14" t="s">
        <v>530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241"/>
      <c r="Q58" s="14"/>
      <c r="R58" s="14"/>
      <c r="S58" s="14"/>
      <c r="T58" s="14"/>
      <c r="U58" s="14">
        <v>10</v>
      </c>
      <c r="V58" s="14"/>
      <c r="W58" s="14"/>
      <c r="X58" s="14"/>
      <c r="Y58" s="243"/>
      <c r="Z58" s="243"/>
      <c r="AA58" s="243"/>
      <c r="AB58" s="243"/>
      <c r="AC58" s="243"/>
      <c r="AD58" s="14"/>
      <c r="AE58" s="14"/>
      <c r="AF58" s="14"/>
      <c r="AG58" s="14"/>
      <c r="AH58" s="14"/>
      <c r="AI58" s="14"/>
    </row>
    <row r="59" spans="1:35" s="116" customFormat="1" ht="20.100000000000001" customHeight="1">
      <c r="A59" s="14"/>
      <c r="C59" s="14">
        <v>1509576334</v>
      </c>
      <c r="D59" s="14" t="s">
        <v>560</v>
      </c>
      <c r="E59" s="14" t="s">
        <v>531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241"/>
      <c r="Q59" s="14"/>
      <c r="R59" s="14"/>
      <c r="S59" s="14"/>
      <c r="T59" s="14"/>
      <c r="U59" s="14">
        <v>5</v>
      </c>
      <c r="V59" s="14">
        <v>5</v>
      </c>
      <c r="W59" s="14"/>
      <c r="X59" s="14"/>
      <c r="Y59" s="243"/>
      <c r="Z59" s="243"/>
      <c r="AA59" s="243"/>
      <c r="AB59" s="243"/>
      <c r="AC59" s="243"/>
      <c r="AD59" s="14"/>
      <c r="AE59" s="14"/>
      <c r="AF59" s="14"/>
      <c r="AG59" s="14"/>
      <c r="AH59" s="14"/>
      <c r="AI59" s="14"/>
    </row>
    <row r="60" spans="1:35" s="116" customFormat="1" ht="20.100000000000001" customHeight="1">
      <c r="A60" s="14"/>
      <c r="C60" s="14">
        <v>1201249206</v>
      </c>
      <c r="D60" s="14" t="s">
        <v>352</v>
      </c>
      <c r="E60" s="14" t="s">
        <v>394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241"/>
      <c r="Q60" s="14"/>
      <c r="R60" s="14"/>
      <c r="S60" s="14"/>
      <c r="T60" s="14"/>
      <c r="U60" s="14">
        <v>7</v>
      </c>
      <c r="V60" s="14">
        <v>7</v>
      </c>
      <c r="W60" s="14"/>
      <c r="X60" s="14"/>
      <c r="Y60" s="243"/>
      <c r="Z60" s="243"/>
      <c r="AA60" s="243"/>
      <c r="AB60" s="243"/>
      <c r="AC60" s="243"/>
      <c r="AD60" s="14"/>
      <c r="AE60" s="14"/>
      <c r="AF60" s="14"/>
      <c r="AG60" s="14"/>
      <c r="AH60" s="14"/>
      <c r="AI60" s="14"/>
    </row>
    <row r="61" spans="1:35" s="116" customFormat="1" ht="20.100000000000001" customHeight="1">
      <c r="A61" s="14"/>
      <c r="C61" s="14">
        <v>1898707389</v>
      </c>
      <c r="D61" s="14" t="s">
        <v>509</v>
      </c>
      <c r="E61" s="14" t="s">
        <v>548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241"/>
      <c r="Q61" s="14"/>
      <c r="R61" s="14"/>
      <c r="S61" s="14"/>
      <c r="T61" s="14"/>
      <c r="U61" s="14">
        <v>3</v>
      </c>
      <c r="V61" s="14"/>
      <c r="W61" s="14"/>
      <c r="X61" s="14"/>
      <c r="Y61" s="243"/>
      <c r="Z61" s="243"/>
      <c r="AA61" s="243"/>
      <c r="AB61" s="243"/>
      <c r="AC61" s="243"/>
      <c r="AD61" s="14"/>
      <c r="AE61" s="14"/>
      <c r="AF61" s="14"/>
      <c r="AG61" s="14"/>
      <c r="AH61" s="14"/>
      <c r="AI61" s="14"/>
    </row>
    <row r="62" spans="1:35" s="116" customFormat="1" ht="20.100000000000001" customHeight="1">
      <c r="A62" s="14"/>
      <c r="C62" s="14">
        <v>2056858156</v>
      </c>
      <c r="D62" s="14" t="s">
        <v>512</v>
      </c>
      <c r="E62" s="14" t="s">
        <v>549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241"/>
      <c r="Q62" s="14"/>
      <c r="R62" s="14"/>
      <c r="S62" s="14"/>
      <c r="T62" s="14"/>
      <c r="U62" s="14"/>
      <c r="V62" s="14"/>
      <c r="W62" s="14"/>
      <c r="X62" s="14"/>
      <c r="Y62" s="243"/>
      <c r="Z62" s="243"/>
      <c r="AA62" s="243"/>
      <c r="AB62" s="243"/>
      <c r="AC62" s="243"/>
      <c r="AD62" s="14"/>
      <c r="AE62" s="14"/>
      <c r="AF62" s="14"/>
      <c r="AG62" s="14"/>
      <c r="AH62" s="14"/>
      <c r="AI62" s="14"/>
    </row>
    <row r="63" spans="1:35" s="116" customFormat="1" ht="20.100000000000001" customHeight="1">
      <c r="A63" s="14"/>
      <c r="C63" s="14">
        <v>1258228694</v>
      </c>
      <c r="D63" s="14" t="s">
        <v>203</v>
      </c>
      <c r="E63" s="14" t="s">
        <v>262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241"/>
      <c r="Q63" s="14"/>
      <c r="R63" s="14"/>
      <c r="S63" s="14"/>
      <c r="T63" s="14"/>
      <c r="U63" s="14">
        <v>5</v>
      </c>
      <c r="V63" s="14"/>
      <c r="W63" s="14"/>
      <c r="X63" s="14"/>
      <c r="Y63" s="243"/>
      <c r="Z63" s="243"/>
      <c r="AA63" s="243"/>
      <c r="AB63" s="243"/>
      <c r="AC63" s="243"/>
      <c r="AD63" s="14"/>
      <c r="AE63" s="14"/>
      <c r="AF63" s="14"/>
      <c r="AG63" s="14"/>
      <c r="AH63" s="14"/>
      <c r="AI63" s="14"/>
    </row>
    <row r="64" spans="1:35" s="116" customFormat="1" ht="20.100000000000001" customHeight="1">
      <c r="A64" s="14"/>
      <c r="C64" s="14">
        <v>1016917438</v>
      </c>
      <c r="D64" s="14" t="s">
        <v>561</v>
      </c>
      <c r="E64" s="14" t="s">
        <v>382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241"/>
      <c r="Q64" s="14"/>
      <c r="R64" s="14"/>
      <c r="S64" s="14"/>
      <c r="T64" s="14"/>
      <c r="U64" s="14">
        <v>7</v>
      </c>
      <c r="V64" s="14"/>
      <c r="W64" s="14"/>
      <c r="X64" s="14"/>
      <c r="Y64" s="243"/>
      <c r="Z64" s="243"/>
      <c r="AA64" s="243"/>
      <c r="AB64" s="243"/>
      <c r="AC64" s="243"/>
      <c r="AD64" s="14"/>
      <c r="AE64" s="14"/>
      <c r="AF64" s="14"/>
      <c r="AG64" s="14"/>
      <c r="AH64" s="14"/>
      <c r="AI64" s="14"/>
    </row>
    <row r="65" spans="1:35" s="116" customFormat="1" ht="20.100000000000001" customHeight="1">
      <c r="A65" s="14"/>
      <c r="C65" s="14">
        <v>1881917537</v>
      </c>
      <c r="D65" s="14" t="s">
        <v>207</v>
      </c>
      <c r="E65" s="14" t="s">
        <v>264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241"/>
      <c r="Q65" s="14"/>
      <c r="R65" s="14"/>
      <c r="S65" s="14"/>
      <c r="T65" s="14"/>
      <c r="U65" s="14"/>
      <c r="V65" s="14"/>
      <c r="W65" s="14"/>
      <c r="X65" s="14"/>
      <c r="Y65" s="243"/>
      <c r="Z65" s="243"/>
      <c r="AA65" s="243"/>
      <c r="AB65" s="243"/>
      <c r="AC65" s="243"/>
      <c r="AD65" s="14"/>
      <c r="AE65" s="14"/>
      <c r="AF65" s="14"/>
      <c r="AG65" s="14"/>
      <c r="AH65" s="14"/>
      <c r="AI65" s="14"/>
    </row>
    <row r="66" spans="1:35" s="116" customFormat="1" ht="20.100000000000001" customHeight="1">
      <c r="A66" s="14"/>
      <c r="C66" s="14">
        <v>1886277668</v>
      </c>
      <c r="D66" s="14" t="s">
        <v>562</v>
      </c>
      <c r="E66" s="14" t="s">
        <v>389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241"/>
      <c r="Q66" s="14"/>
      <c r="R66" s="14"/>
      <c r="S66" s="14"/>
      <c r="T66" s="14"/>
      <c r="U66" s="14">
        <v>5</v>
      </c>
      <c r="V66" s="14"/>
      <c r="W66" s="14"/>
      <c r="X66" s="14"/>
      <c r="Y66" s="243"/>
      <c r="Z66" s="243"/>
      <c r="AA66" s="243"/>
      <c r="AB66" s="243"/>
      <c r="AC66" s="243"/>
      <c r="AD66" s="14"/>
      <c r="AE66" s="14"/>
      <c r="AF66" s="14"/>
      <c r="AG66" s="14"/>
      <c r="AH66" s="14"/>
      <c r="AI66" s="14"/>
    </row>
    <row r="67" spans="1:35" s="116" customFormat="1" ht="20.100000000000001" customHeight="1">
      <c r="A67" s="14"/>
      <c r="C67" s="14">
        <v>1468738927</v>
      </c>
      <c r="D67" s="14" t="s">
        <v>511</v>
      </c>
      <c r="E67" s="14" t="s">
        <v>550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241"/>
      <c r="Q67" s="14"/>
      <c r="R67" s="14"/>
      <c r="S67" s="14"/>
      <c r="T67" s="14"/>
      <c r="U67" s="14"/>
      <c r="V67" s="14"/>
      <c r="W67" s="14"/>
      <c r="X67" s="14"/>
      <c r="Y67" s="243"/>
      <c r="Z67" s="243"/>
      <c r="AA67" s="243"/>
      <c r="AB67" s="243"/>
      <c r="AC67" s="243"/>
      <c r="AD67" s="14"/>
      <c r="AE67" s="14"/>
      <c r="AF67" s="14"/>
      <c r="AG67" s="14"/>
      <c r="AH67" s="14"/>
      <c r="AI67" s="14"/>
    </row>
    <row r="68" spans="1:35" s="116" customFormat="1" ht="20.100000000000001" customHeight="1">
      <c r="A68" s="14"/>
      <c r="C68" s="14">
        <v>1937818033</v>
      </c>
      <c r="D68" s="14" t="s">
        <v>510</v>
      </c>
      <c r="E68" s="14" t="s">
        <v>551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241"/>
      <c r="Q68" s="14"/>
      <c r="R68" s="14"/>
      <c r="S68" s="14"/>
      <c r="T68" s="14"/>
      <c r="U68" s="14"/>
      <c r="V68" s="14"/>
      <c r="W68" s="14"/>
      <c r="X68" s="14"/>
      <c r="Y68" s="243"/>
      <c r="Z68" s="243"/>
      <c r="AA68" s="243"/>
      <c r="AB68" s="243"/>
      <c r="AC68" s="243"/>
      <c r="AD68" s="14"/>
      <c r="AE68" s="14"/>
      <c r="AF68" s="14"/>
      <c r="AG68" s="14"/>
      <c r="AH68" s="14"/>
      <c r="AI68" s="14"/>
    </row>
    <row r="69" spans="1:35" s="116" customFormat="1" ht="20.100000000000001" customHeight="1">
      <c r="A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241"/>
      <c r="Q69" s="14"/>
      <c r="R69" s="14"/>
      <c r="S69" s="14"/>
      <c r="T69" s="14"/>
      <c r="U69" s="14"/>
      <c r="V69" s="14"/>
      <c r="W69" s="14"/>
      <c r="X69" s="14"/>
      <c r="Y69" s="243"/>
      <c r="Z69" s="243"/>
      <c r="AA69" s="243"/>
      <c r="AB69" s="243"/>
      <c r="AC69" s="243"/>
      <c r="AD69" s="14"/>
      <c r="AE69" s="14"/>
      <c r="AF69" s="14"/>
      <c r="AG69" s="14"/>
      <c r="AH69" s="14"/>
      <c r="AI69" s="14"/>
    </row>
    <row r="70" spans="1:35" s="116" customFormat="1" ht="20.100000000000001" customHeight="1">
      <c r="A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241"/>
      <c r="Q70" s="14"/>
      <c r="R70" s="14"/>
      <c r="S70" s="14"/>
      <c r="T70" s="14"/>
      <c r="U70" s="14"/>
      <c r="V70" s="14"/>
      <c r="W70" s="14"/>
      <c r="X70" s="14"/>
      <c r="Y70" s="243"/>
      <c r="Z70" s="243"/>
      <c r="AA70" s="243"/>
      <c r="AB70" s="243"/>
      <c r="AC70" s="243"/>
      <c r="AD70" s="14"/>
      <c r="AE70" s="14"/>
      <c r="AF70" s="14"/>
      <c r="AG70" s="14"/>
      <c r="AH70" s="14"/>
      <c r="AI70" s="14"/>
    </row>
    <row r="71" spans="1:35" s="116" customFormat="1" ht="20.100000000000001" customHeight="1">
      <c r="A71" s="14"/>
      <c r="C71" s="14">
        <v>1726182684</v>
      </c>
      <c r="D71" s="14" t="s">
        <v>539</v>
      </c>
      <c r="E71" s="14" t="s">
        <v>546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241"/>
      <c r="Q71" s="14"/>
      <c r="R71" s="14"/>
      <c r="S71" s="14"/>
      <c r="T71" s="14"/>
      <c r="U71" s="14"/>
      <c r="V71" s="14"/>
      <c r="W71" s="14"/>
      <c r="X71" s="14"/>
      <c r="Y71" s="243"/>
      <c r="Z71" s="243"/>
      <c r="AA71" s="243"/>
      <c r="AB71" s="243"/>
      <c r="AC71" s="243"/>
      <c r="AD71" s="14"/>
      <c r="AE71" s="14"/>
      <c r="AF71" s="14"/>
      <c r="AG71" s="14"/>
      <c r="AH71" s="14"/>
      <c r="AI71" s="14"/>
    </row>
    <row r="72" spans="1:35" s="116" customFormat="1" ht="20.100000000000001" customHeight="1">
      <c r="A72" s="14"/>
      <c r="C72" s="14">
        <v>1248197916</v>
      </c>
      <c r="D72" s="14" t="s">
        <v>540</v>
      </c>
      <c r="E72" s="14" t="s">
        <v>537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241"/>
      <c r="Q72" s="14"/>
      <c r="R72" s="14"/>
      <c r="S72" s="14"/>
      <c r="T72" s="14"/>
      <c r="U72" s="14"/>
      <c r="V72" s="14"/>
      <c r="W72" s="14"/>
      <c r="X72" s="14"/>
      <c r="Y72" s="243"/>
      <c r="Z72" s="243"/>
      <c r="AA72" s="243"/>
      <c r="AB72" s="243"/>
      <c r="AC72" s="243"/>
      <c r="AD72" s="14"/>
      <c r="AE72" s="14"/>
      <c r="AF72" s="14"/>
      <c r="AG72" s="14"/>
      <c r="AH72" s="14"/>
      <c r="AI72" s="14"/>
    </row>
    <row r="73" spans="1:35" s="116" customFormat="1" ht="20.100000000000001" customHeight="1">
      <c r="A73" s="14"/>
      <c r="C73" s="14">
        <v>1731817909</v>
      </c>
      <c r="D73" s="14" t="s">
        <v>541</v>
      </c>
      <c r="E73" s="14" t="s">
        <v>533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241"/>
      <c r="Q73" s="14"/>
      <c r="R73" s="14"/>
      <c r="S73" s="14"/>
      <c r="T73" s="14"/>
      <c r="U73" s="14"/>
      <c r="V73" s="14"/>
      <c r="W73" s="14"/>
      <c r="X73" s="14"/>
      <c r="Y73" s="243"/>
      <c r="Z73" s="243"/>
      <c r="AA73" s="243"/>
      <c r="AB73" s="243"/>
      <c r="AC73" s="243"/>
      <c r="AD73" s="14"/>
      <c r="AE73" s="14"/>
      <c r="AF73" s="14"/>
      <c r="AG73" s="14"/>
      <c r="AH73" s="14"/>
      <c r="AI73" s="14"/>
    </row>
    <row r="74" spans="1:35" s="116" customFormat="1" ht="20.100000000000001" customHeight="1">
      <c r="A74" s="14"/>
      <c r="C74" s="14">
        <v>34283740</v>
      </c>
      <c r="D74" s="14" t="s">
        <v>542</v>
      </c>
      <c r="E74" s="14" t="s">
        <v>534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241"/>
      <c r="Q74" s="14"/>
      <c r="R74" s="14"/>
      <c r="S74" s="14"/>
      <c r="T74" s="14"/>
      <c r="U74" s="14"/>
      <c r="V74" s="14"/>
      <c r="W74" s="14"/>
      <c r="X74" s="14"/>
      <c r="Y74" s="243"/>
      <c r="Z74" s="243"/>
      <c r="AA74" s="243"/>
      <c r="AB74" s="243"/>
      <c r="AC74" s="243"/>
      <c r="AD74" s="14"/>
      <c r="AE74" s="14"/>
      <c r="AF74" s="14"/>
      <c r="AG74" s="14"/>
      <c r="AH74" s="14"/>
      <c r="AI74" s="14"/>
    </row>
    <row r="75" spans="1:35" s="116" customFormat="1" ht="20.100000000000001" customHeight="1">
      <c r="A75" s="14"/>
      <c r="C75" s="14">
        <v>37542360</v>
      </c>
      <c r="D75" s="14" t="s">
        <v>543</v>
      </c>
      <c r="E75" s="14" t="s">
        <v>538</v>
      </c>
      <c r="F75" s="247"/>
      <c r="G75" s="14"/>
      <c r="H75" s="14"/>
      <c r="I75" s="14"/>
      <c r="J75" s="14"/>
      <c r="K75" s="14"/>
      <c r="L75" s="14"/>
      <c r="M75" s="14"/>
      <c r="N75" s="14"/>
      <c r="O75" s="14"/>
      <c r="P75" s="241"/>
      <c r="Q75" s="14"/>
      <c r="R75" s="14"/>
      <c r="S75" s="14"/>
      <c r="T75" s="14"/>
      <c r="U75" s="14"/>
      <c r="V75" s="14"/>
      <c r="W75" s="14"/>
      <c r="X75" s="14"/>
      <c r="Y75" s="243"/>
      <c r="Z75" s="243"/>
      <c r="AA75" s="243"/>
      <c r="AB75" s="243"/>
      <c r="AC75" s="243"/>
      <c r="AD75" s="14"/>
      <c r="AE75" s="14"/>
      <c r="AF75" s="14"/>
      <c r="AG75" s="14"/>
      <c r="AH75" s="14"/>
      <c r="AI75" s="14"/>
    </row>
    <row r="76" spans="1:35" s="116" customFormat="1" ht="20.100000000000001" customHeight="1">
      <c r="A76" s="14"/>
      <c r="C76" s="14">
        <v>1004387540</v>
      </c>
      <c r="D76" s="14" t="s">
        <v>544</v>
      </c>
      <c r="E76" s="14" t="s">
        <v>553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241"/>
      <c r="Q76" s="14"/>
      <c r="R76" s="14"/>
      <c r="S76" s="14"/>
      <c r="T76" s="14"/>
      <c r="U76" s="14"/>
      <c r="V76" s="14"/>
      <c r="W76" s="14"/>
      <c r="X76" s="14"/>
      <c r="Y76" s="243"/>
      <c r="Z76" s="243"/>
      <c r="AA76" s="243"/>
      <c r="AB76" s="243"/>
      <c r="AC76" s="243"/>
      <c r="AD76" s="14"/>
      <c r="AE76" s="14"/>
      <c r="AF76" s="14"/>
      <c r="AG76" s="14"/>
      <c r="AH76" s="14"/>
      <c r="AI76" s="14"/>
    </row>
    <row r="77" spans="1:35" s="116" customFormat="1" ht="20.100000000000001" customHeight="1">
      <c r="A77" s="14"/>
      <c r="C77" s="14">
        <v>1628980692</v>
      </c>
      <c r="D77" s="14" t="s">
        <v>545</v>
      </c>
      <c r="E77" s="14" t="s">
        <v>535</v>
      </c>
      <c r="F77" s="247"/>
      <c r="G77" s="14"/>
      <c r="H77" s="14"/>
      <c r="I77" s="14"/>
      <c r="J77" s="14"/>
      <c r="K77" s="14"/>
      <c r="L77" s="14"/>
      <c r="M77" s="14"/>
      <c r="N77" s="14"/>
      <c r="O77" s="14"/>
      <c r="P77" s="241"/>
      <c r="Q77" s="14"/>
      <c r="R77" s="14"/>
      <c r="S77" s="14"/>
      <c r="T77" s="14"/>
      <c r="U77" s="14"/>
      <c r="V77" s="14"/>
      <c r="W77" s="14"/>
      <c r="X77" s="14"/>
      <c r="Y77" s="243"/>
      <c r="Z77" s="243"/>
      <c r="AA77" s="243"/>
      <c r="AB77" s="243"/>
      <c r="AC77" s="243"/>
      <c r="AD77" s="14"/>
      <c r="AE77" s="14"/>
      <c r="AF77" s="14"/>
      <c r="AG77" s="14"/>
      <c r="AH77" s="14"/>
      <c r="AI77" s="14"/>
    </row>
    <row r="78" spans="1:35" s="116" customFormat="1" ht="20.100000000000001" customHeight="1">
      <c r="A78" s="14"/>
      <c r="C78" s="14">
        <v>2022817604</v>
      </c>
      <c r="D78" s="14" t="s">
        <v>563</v>
      </c>
      <c r="E78" s="14" t="s">
        <v>536</v>
      </c>
      <c r="F78" s="247"/>
      <c r="G78" s="14"/>
      <c r="H78" s="14"/>
      <c r="I78" s="14"/>
      <c r="J78" s="14"/>
      <c r="K78" s="14"/>
      <c r="L78" s="14"/>
      <c r="M78" s="14"/>
      <c r="N78" s="14"/>
      <c r="O78" s="14"/>
      <c r="P78" s="241"/>
      <c r="Q78" s="14"/>
      <c r="R78" s="14"/>
      <c r="S78" s="14"/>
      <c r="T78" s="14"/>
      <c r="U78" s="14"/>
      <c r="V78" s="14"/>
      <c r="W78" s="14"/>
      <c r="X78" s="14"/>
      <c r="Y78" s="243"/>
      <c r="Z78" s="243"/>
      <c r="AA78" s="243"/>
      <c r="AB78" s="243"/>
      <c r="AC78" s="243"/>
      <c r="AD78" s="14"/>
      <c r="AE78" s="14"/>
      <c r="AF78" s="14"/>
      <c r="AG78" s="14"/>
      <c r="AH78" s="14"/>
      <c r="AI78" s="14"/>
    </row>
    <row r="79" spans="1:35" s="116" customFormat="1" ht="20.100000000000001" customHeight="1">
      <c r="A79" s="14"/>
      <c r="C79" s="14">
        <v>1108685948</v>
      </c>
      <c r="D79" s="14" t="s">
        <v>323</v>
      </c>
      <c r="E79" s="14" t="s">
        <v>416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241"/>
      <c r="Q79" s="14"/>
      <c r="R79" s="14"/>
      <c r="S79" s="14"/>
      <c r="T79" s="14"/>
      <c r="U79" s="14"/>
      <c r="V79" s="14"/>
      <c r="W79" s="14">
        <v>5</v>
      </c>
      <c r="X79" s="14"/>
      <c r="Y79" s="243"/>
      <c r="Z79" s="243"/>
      <c r="AA79" s="243"/>
      <c r="AB79" s="243"/>
      <c r="AC79" s="243"/>
      <c r="AD79" s="14"/>
      <c r="AE79" s="14"/>
      <c r="AF79" s="14"/>
      <c r="AG79" s="14"/>
      <c r="AH79" s="14"/>
      <c r="AI79" s="14"/>
    </row>
    <row r="80" spans="1:35" s="116" customFormat="1" ht="20.100000000000001" customHeight="1">
      <c r="A80" s="14"/>
      <c r="C80" s="14">
        <v>2099188087</v>
      </c>
      <c r="D80" s="14" t="s">
        <v>503</v>
      </c>
      <c r="E80" s="14" t="s">
        <v>572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241"/>
      <c r="Q80" s="14"/>
      <c r="R80" s="14"/>
      <c r="S80" s="14"/>
      <c r="T80" s="14"/>
      <c r="U80" s="14"/>
      <c r="V80" s="14"/>
      <c r="W80" s="14"/>
      <c r="X80" s="14"/>
      <c r="Y80" s="243"/>
      <c r="Z80" s="243"/>
      <c r="AA80" s="243"/>
      <c r="AB80" s="243"/>
      <c r="AC80" s="243"/>
      <c r="AD80" s="14"/>
      <c r="AE80" s="14"/>
      <c r="AF80" s="14"/>
      <c r="AG80" s="14"/>
      <c r="AH80" s="14"/>
      <c r="AI80" s="14"/>
    </row>
    <row r="81" spans="1:35" s="116" customFormat="1" ht="20.100000000000001" customHeight="1">
      <c r="A81" s="14"/>
      <c r="C81" s="14">
        <v>1596131027</v>
      </c>
      <c r="D81" s="14" t="s">
        <v>573</v>
      </c>
      <c r="E81" s="14" t="s">
        <v>574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241"/>
      <c r="Q81" s="14"/>
      <c r="R81" s="14"/>
      <c r="S81" s="14"/>
      <c r="T81" s="14"/>
      <c r="U81" s="14"/>
      <c r="V81" s="14"/>
      <c r="W81" s="14"/>
      <c r="X81" s="14"/>
      <c r="Y81" s="243"/>
      <c r="Z81" s="243"/>
      <c r="AA81" s="243"/>
      <c r="AB81" s="243"/>
      <c r="AC81" s="243"/>
      <c r="AD81" s="244"/>
      <c r="AE81" s="244"/>
      <c r="AF81" s="14"/>
      <c r="AG81" s="14"/>
      <c r="AH81" s="14"/>
      <c r="AI81" s="14"/>
    </row>
    <row r="82" spans="1:35" s="116" customFormat="1" ht="20.100000000000001" customHeight="1">
      <c r="A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241"/>
      <c r="Q82" s="14"/>
      <c r="R82" s="14"/>
      <c r="S82" s="14"/>
      <c r="T82" s="14"/>
      <c r="U82" s="14"/>
      <c r="V82" s="14"/>
      <c r="W82" s="14"/>
      <c r="X82" s="14"/>
      <c r="Y82" s="243"/>
      <c r="Z82" s="243"/>
      <c r="AA82" s="243"/>
      <c r="AB82" s="243"/>
      <c r="AC82" s="243"/>
      <c r="AD82" s="244"/>
      <c r="AE82" s="244"/>
      <c r="AF82" s="14"/>
      <c r="AG82" s="14"/>
      <c r="AH82" s="14"/>
      <c r="AI82" s="14"/>
    </row>
    <row r="83" spans="1:35" s="116" customFormat="1" ht="20.100000000000001" customHeight="1">
      <c r="A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241"/>
      <c r="Q83" s="14"/>
      <c r="R83" s="14"/>
      <c r="S83" s="14"/>
      <c r="T83" s="14"/>
      <c r="U83" s="14"/>
      <c r="V83" s="14"/>
      <c r="W83" s="14"/>
      <c r="X83" s="14"/>
      <c r="Y83" s="243"/>
      <c r="Z83" s="243"/>
      <c r="AA83" s="243"/>
      <c r="AB83" s="243"/>
      <c r="AC83" s="243"/>
      <c r="AD83" s="244"/>
      <c r="AE83" s="244"/>
      <c r="AF83" s="14"/>
      <c r="AG83" s="14"/>
      <c r="AH83" s="14"/>
      <c r="AI83" s="14"/>
    </row>
    <row r="84" spans="1:35" s="116" customFormat="1" ht="20.100000000000001" customHeight="1">
      <c r="A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241"/>
      <c r="Q84" s="14"/>
      <c r="R84" s="14"/>
      <c r="S84" s="14"/>
      <c r="T84" s="14"/>
      <c r="U84" s="14"/>
      <c r="V84" s="14"/>
      <c r="W84" s="14"/>
      <c r="X84" s="14"/>
      <c r="Y84" s="243"/>
      <c r="Z84" s="243"/>
      <c r="AA84" s="243"/>
      <c r="AB84" s="243"/>
      <c r="AC84" s="243"/>
      <c r="AD84" s="244"/>
      <c r="AE84" s="244"/>
      <c r="AF84" s="14"/>
      <c r="AG84" s="14"/>
      <c r="AH84" s="14"/>
      <c r="AI84" s="14"/>
    </row>
    <row r="85" spans="1:35" s="116" customFormat="1" ht="20.100000000000001" customHeight="1">
      <c r="A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241"/>
      <c r="Q85" s="14"/>
      <c r="R85" s="14"/>
      <c r="S85" s="14"/>
      <c r="T85" s="14"/>
      <c r="U85" s="14"/>
      <c r="V85" s="14"/>
      <c r="W85" s="14"/>
      <c r="X85" s="14"/>
      <c r="Y85" s="243"/>
      <c r="Z85" s="243"/>
      <c r="AA85" s="243"/>
      <c r="AB85" s="243"/>
      <c r="AC85" s="243"/>
      <c r="AD85" s="244"/>
      <c r="AE85" s="244"/>
      <c r="AF85" s="14"/>
      <c r="AG85" s="14"/>
      <c r="AH85" s="14"/>
      <c r="AI85" s="14"/>
    </row>
    <row r="86" spans="1:35" s="116" customFormat="1" ht="20.100000000000001" customHeight="1">
      <c r="A86" s="14"/>
      <c r="C86" s="14"/>
      <c r="D86" s="14" t="s">
        <v>69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241"/>
      <c r="Q86" s="14"/>
      <c r="R86" s="14"/>
      <c r="S86" s="14"/>
      <c r="T86" s="14"/>
      <c r="U86" s="14"/>
      <c r="V86" s="14"/>
      <c r="W86" s="14"/>
      <c r="X86" s="14"/>
      <c r="Y86" s="243"/>
      <c r="Z86" s="243"/>
      <c r="AA86" s="243"/>
      <c r="AB86" s="243"/>
      <c r="AC86" s="243"/>
      <c r="AD86" s="14"/>
      <c r="AE86" s="14"/>
      <c r="AF86" s="14"/>
      <c r="AG86" s="14"/>
      <c r="AH86" s="14"/>
      <c r="AI86" s="14"/>
    </row>
    <row r="87" spans="1:35" s="116" customFormat="1" ht="20.100000000000001" customHeight="1">
      <c r="A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241"/>
      <c r="Q87" s="14"/>
      <c r="R87" s="14"/>
      <c r="S87" s="14"/>
      <c r="T87" s="14"/>
      <c r="U87" s="14"/>
      <c r="V87" s="14"/>
      <c r="W87" s="14"/>
      <c r="X87" s="14"/>
      <c r="Y87" s="243"/>
      <c r="Z87" s="243"/>
      <c r="AA87" s="243"/>
      <c r="AB87" s="243"/>
      <c r="AC87" s="243"/>
      <c r="AD87" s="14"/>
      <c r="AE87" s="14"/>
      <c r="AF87" s="14"/>
      <c r="AG87" s="14"/>
      <c r="AH87" s="14"/>
      <c r="AI87" s="14"/>
    </row>
    <row r="88" spans="1:35" s="116" customFormat="1" ht="20.100000000000001" customHeight="1">
      <c r="A88" s="14"/>
      <c r="C88" s="14"/>
      <c r="D88" s="14" t="s">
        <v>47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241"/>
      <c r="Q88" s="14"/>
      <c r="R88" s="14"/>
      <c r="S88" s="14"/>
      <c r="T88" s="14"/>
      <c r="U88" s="14"/>
      <c r="V88" s="14"/>
      <c r="W88" s="14"/>
      <c r="X88" s="14"/>
      <c r="Y88" s="243"/>
      <c r="Z88" s="243"/>
      <c r="AA88" s="243"/>
      <c r="AB88" s="243"/>
      <c r="AC88" s="243"/>
      <c r="AD88" s="14"/>
      <c r="AE88" s="14"/>
      <c r="AF88" s="14"/>
      <c r="AG88" s="14"/>
      <c r="AH88" s="14"/>
      <c r="AI88" s="14"/>
    </row>
    <row r="89" spans="1:35" s="116" customFormat="1" ht="20.100000000000001" customHeight="1">
      <c r="A89" s="14"/>
      <c r="C89" s="14"/>
      <c r="D89" s="14" t="s">
        <v>41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241"/>
      <c r="Q89" s="14"/>
      <c r="R89" s="14"/>
      <c r="S89" s="14"/>
      <c r="T89" s="14"/>
      <c r="U89" s="14"/>
      <c r="V89" s="14"/>
      <c r="W89" s="14"/>
      <c r="X89" s="14"/>
      <c r="Y89" s="243"/>
      <c r="Z89" s="243"/>
      <c r="AA89" s="243"/>
      <c r="AB89" s="243"/>
      <c r="AC89" s="243"/>
      <c r="AD89" s="14"/>
      <c r="AE89" s="14"/>
      <c r="AF89" s="14"/>
      <c r="AG89" s="14"/>
      <c r="AH89" s="14"/>
      <c r="AI89" s="14"/>
    </row>
    <row r="90" spans="1:35" s="116" customFormat="1" ht="20.100000000000001" customHeight="1">
      <c r="A90" s="14"/>
      <c r="C90" s="14"/>
      <c r="D90" s="14" t="s">
        <v>325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241"/>
      <c r="Q90" s="14"/>
      <c r="R90" s="14"/>
      <c r="S90" s="14"/>
      <c r="T90" s="14"/>
      <c r="U90" s="14"/>
      <c r="V90" s="14"/>
      <c r="W90" s="14"/>
      <c r="X90" s="14"/>
      <c r="Y90" s="243"/>
      <c r="Z90" s="243"/>
      <c r="AA90" s="243"/>
      <c r="AB90" s="243"/>
      <c r="AC90" s="243"/>
      <c r="AD90" s="14"/>
      <c r="AE90" s="14"/>
      <c r="AF90" s="14"/>
      <c r="AG90" s="14"/>
      <c r="AH90" s="14"/>
      <c r="AI90" s="14"/>
    </row>
    <row r="91" spans="1:35" s="116" customFormat="1" ht="20.100000000000001" customHeight="1">
      <c r="A91" s="14"/>
      <c r="C91" s="14"/>
      <c r="D91" s="14" t="s">
        <v>153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241"/>
      <c r="Q91" s="14"/>
      <c r="R91" s="14"/>
      <c r="S91" s="14"/>
      <c r="T91" s="14"/>
      <c r="U91" s="14"/>
      <c r="V91" s="14"/>
      <c r="W91" s="14"/>
      <c r="X91" s="14"/>
      <c r="Y91" s="243"/>
      <c r="Z91" s="243"/>
      <c r="AA91" s="243"/>
      <c r="AB91" s="243"/>
      <c r="AC91" s="243"/>
      <c r="AD91" s="14"/>
      <c r="AE91" s="14"/>
      <c r="AF91" s="14"/>
      <c r="AG91" s="14"/>
      <c r="AH91" s="14"/>
      <c r="AI91" s="14"/>
    </row>
    <row r="92" spans="1:35" s="116" customFormat="1" ht="20.100000000000001" customHeight="1">
      <c r="A92" s="14"/>
      <c r="C92" s="14"/>
      <c r="D92" s="14" t="s">
        <v>171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241"/>
      <c r="Q92" s="14"/>
      <c r="R92" s="14"/>
      <c r="S92" s="14"/>
      <c r="T92" s="14"/>
      <c r="U92" s="14"/>
      <c r="V92" s="14"/>
      <c r="W92" s="14"/>
      <c r="X92" s="14"/>
      <c r="Y92" s="243"/>
      <c r="Z92" s="243"/>
      <c r="AA92" s="243"/>
      <c r="AB92" s="243"/>
      <c r="AC92" s="243"/>
      <c r="AD92" s="14"/>
      <c r="AE92" s="14"/>
      <c r="AF92" s="14"/>
      <c r="AG92" s="14"/>
      <c r="AH92" s="14"/>
      <c r="AI92" s="14"/>
    </row>
    <row r="93" spans="1:35" s="116" customFormat="1" ht="20.100000000000001" customHeight="1">
      <c r="A93" s="14"/>
      <c r="C93" s="14"/>
      <c r="D93" s="14" t="s">
        <v>138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241"/>
      <c r="Q93" s="14"/>
      <c r="R93" s="14"/>
      <c r="S93" s="14"/>
      <c r="T93" s="14"/>
      <c r="U93" s="14"/>
      <c r="V93" s="14"/>
      <c r="W93" s="14"/>
      <c r="X93" s="14"/>
      <c r="Y93" s="243"/>
      <c r="Z93" s="243"/>
      <c r="AA93" s="243"/>
      <c r="AB93" s="243"/>
      <c r="AC93" s="243"/>
      <c r="AD93" s="14"/>
      <c r="AE93" s="14"/>
      <c r="AF93" s="14"/>
      <c r="AG93" s="14"/>
      <c r="AH93" s="14"/>
      <c r="AI93" s="14"/>
    </row>
    <row r="94" spans="1:35" s="116" customFormat="1" ht="20.100000000000001" customHeight="1">
      <c r="A94" s="14"/>
      <c r="C94" s="14"/>
      <c r="D94" s="14" t="s">
        <v>73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241"/>
      <c r="Q94" s="14"/>
      <c r="R94" s="14"/>
      <c r="S94" s="14"/>
      <c r="T94" s="14"/>
      <c r="U94" s="14"/>
      <c r="V94" s="14"/>
      <c r="W94" s="14"/>
      <c r="X94" s="14"/>
      <c r="Y94" s="243"/>
      <c r="Z94" s="243"/>
      <c r="AA94" s="243"/>
      <c r="AB94" s="243"/>
      <c r="AC94" s="243"/>
      <c r="AD94" s="14"/>
      <c r="AE94" s="14"/>
      <c r="AF94" s="14"/>
      <c r="AG94" s="14"/>
      <c r="AH94" s="14"/>
      <c r="AI94" s="14"/>
    </row>
    <row r="95" spans="1:35" s="116" customFormat="1" ht="20.100000000000001" customHeight="1">
      <c r="A95" s="14"/>
      <c r="C95" s="14">
        <v>1294147426</v>
      </c>
      <c r="D95" s="14" t="s">
        <v>21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241"/>
      <c r="Q95" s="14"/>
      <c r="R95" s="14"/>
      <c r="S95" s="14"/>
      <c r="T95" s="14"/>
      <c r="U95" s="14"/>
      <c r="V95" s="14"/>
      <c r="W95" s="14"/>
      <c r="X95" s="14"/>
      <c r="Y95" s="243"/>
      <c r="Z95" s="243"/>
      <c r="AA95" s="243"/>
      <c r="AB95" s="243"/>
      <c r="AC95" s="243"/>
      <c r="AD95" s="14"/>
      <c r="AE95" s="14"/>
      <c r="AF95" s="14"/>
      <c r="AG95" s="14"/>
      <c r="AH95" s="14"/>
      <c r="AI95" s="14"/>
    </row>
    <row r="96" spans="1:35" s="116" customFormat="1" ht="20.100000000000001" customHeight="1">
      <c r="A96" s="14"/>
      <c r="C96" s="14"/>
      <c r="D96" s="14" t="s">
        <v>362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241"/>
      <c r="Q96" s="14"/>
      <c r="R96" s="14"/>
      <c r="S96" s="14"/>
      <c r="T96" s="14"/>
      <c r="U96" s="14"/>
      <c r="V96" s="14"/>
      <c r="W96" s="14"/>
      <c r="X96" s="14"/>
      <c r="Y96" s="243"/>
      <c r="Z96" s="243"/>
      <c r="AA96" s="243"/>
      <c r="AB96" s="243"/>
      <c r="AC96" s="243"/>
      <c r="AD96" s="14"/>
      <c r="AE96" s="14"/>
      <c r="AF96" s="14"/>
      <c r="AG96" s="14"/>
      <c r="AH96" s="14"/>
      <c r="AI96" s="14"/>
    </row>
    <row r="97" spans="1:35" s="116" customFormat="1" ht="20.100000000000001" customHeight="1">
      <c r="A97" s="14"/>
      <c r="C97" s="14"/>
      <c r="D97" s="14" t="s">
        <v>364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241"/>
      <c r="Q97" s="14"/>
      <c r="R97" s="14"/>
      <c r="S97" s="14"/>
      <c r="T97" s="14"/>
      <c r="U97" s="14"/>
      <c r="V97" s="14"/>
      <c r="W97" s="14"/>
      <c r="X97" s="14"/>
      <c r="Y97" s="243"/>
      <c r="Z97" s="243"/>
      <c r="AA97" s="243"/>
      <c r="AB97" s="243"/>
      <c r="AC97" s="243"/>
      <c r="AD97" s="14"/>
      <c r="AE97" s="14"/>
      <c r="AF97" s="14"/>
      <c r="AG97" s="14"/>
      <c r="AH97" s="14"/>
      <c r="AI97" s="14"/>
    </row>
    <row r="98" spans="1:35" s="116" customFormat="1" ht="20.100000000000001" customHeight="1">
      <c r="A98" s="14"/>
      <c r="C98" s="14"/>
      <c r="D98" s="14" t="s">
        <v>367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241"/>
      <c r="Q98" s="14"/>
      <c r="R98" s="14"/>
      <c r="S98" s="14"/>
      <c r="T98" s="14"/>
      <c r="U98" s="14"/>
      <c r="V98" s="14"/>
      <c r="W98" s="14"/>
      <c r="X98" s="14"/>
      <c r="Y98" s="243"/>
      <c r="Z98" s="243"/>
      <c r="AA98" s="243"/>
      <c r="AB98" s="243"/>
      <c r="AC98" s="243"/>
      <c r="AD98" s="14"/>
      <c r="AE98" s="14"/>
      <c r="AF98" s="14"/>
      <c r="AG98" s="14"/>
      <c r="AH98" s="14"/>
      <c r="AI98" s="14"/>
    </row>
    <row r="99" spans="1:35" s="116" customFormat="1" ht="20.100000000000001" customHeight="1">
      <c r="A99" s="14"/>
      <c r="C99" s="14"/>
      <c r="D99" s="14" t="s">
        <v>55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241"/>
      <c r="Q99" s="14"/>
      <c r="R99" s="14"/>
      <c r="S99" s="14"/>
      <c r="T99" s="14"/>
      <c r="U99" s="14"/>
      <c r="V99" s="14"/>
      <c r="W99" s="14"/>
      <c r="X99" s="14"/>
      <c r="Y99" s="243"/>
      <c r="Z99" s="243"/>
      <c r="AA99" s="243"/>
      <c r="AB99" s="243"/>
      <c r="AC99" s="243"/>
      <c r="AD99" s="14"/>
      <c r="AE99" s="14"/>
      <c r="AF99" s="14"/>
      <c r="AG99" s="14"/>
      <c r="AH99" s="14"/>
      <c r="AI99" s="14"/>
    </row>
    <row r="100" spans="1:35" s="116" customFormat="1" ht="20.100000000000001" customHeight="1">
      <c r="A100" s="14"/>
      <c r="C100" s="14">
        <v>465407558</v>
      </c>
      <c r="D100" s="14" t="s">
        <v>518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241"/>
      <c r="Q100" s="14"/>
      <c r="R100" s="14"/>
      <c r="S100" s="14"/>
      <c r="T100" s="14"/>
      <c r="U100" s="14"/>
      <c r="V100" s="14"/>
      <c r="W100" s="14"/>
      <c r="X100" s="14"/>
      <c r="Y100" s="243"/>
      <c r="Z100" s="243"/>
      <c r="AA100" s="243"/>
      <c r="AB100" s="243"/>
      <c r="AC100" s="243"/>
      <c r="AD100" s="14"/>
      <c r="AE100" s="14"/>
      <c r="AF100" s="14"/>
      <c r="AG100" s="14"/>
      <c r="AH100" s="14"/>
      <c r="AI100" s="14"/>
    </row>
    <row r="101" spans="1:35" s="116" customFormat="1" ht="20.100000000000001" customHeight="1">
      <c r="A101" s="14"/>
      <c r="C101" s="14">
        <v>37775617</v>
      </c>
      <c r="D101" s="14" t="s">
        <v>360</v>
      </c>
      <c r="E101" s="14" t="str">
        <f>"https://m.place.naver.com/place/" &amp;C101 &amp; "/home"</f>
        <v>https://m.place.naver.com/place/37775617/home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241"/>
      <c r="Q101" s="14"/>
      <c r="R101" s="14"/>
      <c r="S101" s="14"/>
      <c r="T101" s="14"/>
      <c r="U101" s="14"/>
      <c r="V101" s="14"/>
      <c r="W101" s="14"/>
      <c r="X101" s="14"/>
      <c r="Y101" s="243"/>
      <c r="Z101" s="243"/>
      <c r="AA101" s="243"/>
      <c r="AB101" s="243"/>
      <c r="AC101" s="243"/>
      <c r="AD101" s="14"/>
      <c r="AE101" s="14"/>
      <c r="AF101" s="14"/>
      <c r="AG101" s="14"/>
      <c r="AH101" s="14"/>
      <c r="AI101" s="14"/>
    </row>
    <row r="102" spans="1:35" s="116" customFormat="1" ht="20.100000000000001" customHeight="1">
      <c r="A102" s="14"/>
      <c r="C102" s="14">
        <v>2021830539</v>
      </c>
      <c r="D102" s="14" t="s">
        <v>349</v>
      </c>
      <c r="E102" s="14" t="s">
        <v>397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241"/>
      <c r="Q102" s="14"/>
      <c r="R102" s="14"/>
      <c r="S102" s="14"/>
      <c r="T102" s="14"/>
      <c r="U102" s="14"/>
      <c r="V102" s="14"/>
      <c r="W102" s="14"/>
      <c r="X102" s="14"/>
      <c r="Y102" s="243"/>
      <c r="Z102" s="243"/>
      <c r="AA102" s="243"/>
      <c r="AB102" s="243"/>
      <c r="AC102" s="243"/>
      <c r="AD102" s="14"/>
      <c r="AE102" s="14"/>
      <c r="AF102" s="14"/>
      <c r="AG102" s="14"/>
      <c r="AH102" s="14"/>
      <c r="AI102" s="14"/>
    </row>
    <row r="103" spans="1:35" s="116" customFormat="1" ht="20.100000000000001" customHeight="1">
      <c r="A103" s="14"/>
      <c r="C103" s="14">
        <v>1642603227</v>
      </c>
      <c r="D103" s="14" t="s">
        <v>211</v>
      </c>
      <c r="E103" s="14" t="s">
        <v>395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241"/>
      <c r="Q103" s="14"/>
      <c r="R103" s="14"/>
      <c r="S103" s="14"/>
      <c r="T103" s="14"/>
      <c r="U103" s="14"/>
      <c r="V103" s="14"/>
      <c r="W103" s="14"/>
      <c r="X103" s="14"/>
      <c r="Y103" s="243"/>
      <c r="Z103" s="243"/>
      <c r="AA103" s="243"/>
      <c r="AB103" s="243"/>
      <c r="AC103" s="243"/>
      <c r="AD103" s="14"/>
      <c r="AE103" s="14"/>
      <c r="AF103" s="14"/>
      <c r="AG103" s="14"/>
      <c r="AH103" s="14"/>
      <c r="AI103" s="14"/>
    </row>
    <row r="104" spans="1:35" s="116" customFormat="1" ht="20.100000000000001" customHeight="1">
      <c r="A104" s="14"/>
      <c r="C104" s="14"/>
      <c r="D104" s="14" t="s">
        <v>372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241"/>
      <c r="Q104" s="14"/>
      <c r="R104" s="14"/>
      <c r="S104" s="14"/>
      <c r="T104" s="14"/>
      <c r="U104" s="14"/>
      <c r="V104" s="14"/>
      <c r="W104" s="14"/>
      <c r="X104" s="14"/>
      <c r="Y104" s="243"/>
      <c r="Z104" s="243"/>
      <c r="AA104" s="243"/>
      <c r="AB104" s="243"/>
      <c r="AC104" s="243"/>
      <c r="AD104" s="14"/>
      <c r="AE104" s="14"/>
      <c r="AF104" s="14"/>
      <c r="AG104" s="14"/>
      <c r="AH104" s="14"/>
      <c r="AI104" s="14"/>
    </row>
    <row r="105" spans="1:35" s="116" customFormat="1" ht="20.100000000000001" customHeight="1">
      <c r="A105" s="14"/>
      <c r="C105" s="14"/>
      <c r="D105" s="14" t="s">
        <v>564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241"/>
      <c r="Q105" s="14"/>
      <c r="R105" s="14"/>
      <c r="S105" s="14"/>
      <c r="T105" s="14"/>
      <c r="U105" s="14"/>
      <c r="V105" s="14"/>
      <c r="W105" s="14"/>
      <c r="X105" s="14"/>
      <c r="Y105" s="243"/>
      <c r="Z105" s="243"/>
      <c r="AA105" s="243"/>
      <c r="AB105" s="243"/>
      <c r="AC105" s="243"/>
      <c r="AD105" s="14"/>
      <c r="AE105" s="14"/>
      <c r="AF105" s="14"/>
      <c r="AG105" s="14"/>
      <c r="AH105" s="14"/>
      <c r="AI105" s="14"/>
    </row>
    <row r="106" spans="1:35" s="116" customFormat="1" ht="20.100000000000001" customHeight="1">
      <c r="A106" s="14"/>
      <c r="C106" s="14"/>
      <c r="D106" s="14" t="s">
        <v>40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241"/>
      <c r="Q106" s="14"/>
      <c r="R106" s="14"/>
      <c r="S106" s="14"/>
      <c r="T106" s="14"/>
      <c r="U106" s="14"/>
      <c r="V106" s="14"/>
      <c r="W106" s="14"/>
      <c r="X106" s="14"/>
      <c r="Y106" s="243"/>
      <c r="Z106" s="243"/>
      <c r="AA106" s="243"/>
      <c r="AB106" s="243"/>
      <c r="AC106" s="243"/>
      <c r="AD106" s="14"/>
      <c r="AE106" s="14"/>
      <c r="AF106" s="14"/>
      <c r="AG106" s="14"/>
      <c r="AH106" s="14"/>
      <c r="AI106" s="14"/>
    </row>
    <row r="107" spans="1:35" s="116" customFormat="1" ht="20.100000000000001" customHeight="1">
      <c r="A107" s="14"/>
      <c r="C107" s="14"/>
      <c r="D107" s="14" t="s">
        <v>18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241"/>
      <c r="Q107" s="14"/>
      <c r="R107" s="14"/>
      <c r="S107" s="14"/>
      <c r="T107" s="14"/>
      <c r="U107" s="14"/>
      <c r="V107" s="14"/>
      <c r="W107" s="14"/>
      <c r="X107" s="14"/>
      <c r="Y107" s="243"/>
      <c r="Z107" s="243"/>
      <c r="AA107" s="243"/>
      <c r="AB107" s="243"/>
      <c r="AC107" s="243"/>
      <c r="AD107" s="14"/>
      <c r="AE107" s="14"/>
      <c r="AF107" s="14"/>
      <c r="AG107" s="14"/>
      <c r="AH107" s="14"/>
      <c r="AI107" s="14"/>
    </row>
    <row r="108" spans="1:35" s="116" customFormat="1" ht="20.100000000000001" customHeight="1">
      <c r="A108" s="14"/>
      <c r="C108" s="14"/>
      <c r="D108" s="14" t="s">
        <v>565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241"/>
      <c r="Q108" s="14"/>
      <c r="R108" s="14"/>
      <c r="S108" s="14"/>
      <c r="T108" s="14"/>
      <c r="U108" s="14"/>
      <c r="V108" s="14"/>
      <c r="W108" s="14"/>
      <c r="X108" s="14"/>
      <c r="Y108" s="243"/>
      <c r="Z108" s="243"/>
      <c r="AA108" s="243"/>
      <c r="AB108" s="243"/>
      <c r="AC108" s="243"/>
      <c r="AD108" s="14"/>
      <c r="AE108" s="14"/>
      <c r="AF108" s="14"/>
      <c r="AG108" s="14"/>
      <c r="AH108" s="14"/>
      <c r="AI108" s="14"/>
    </row>
    <row r="109" spans="1:35" s="116" customFormat="1" ht="20.100000000000001" customHeight="1">
      <c r="A109" s="14"/>
      <c r="C109" s="14"/>
      <c r="D109" s="14" t="s">
        <v>165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241"/>
      <c r="Q109" s="14"/>
      <c r="R109" s="14"/>
      <c r="S109" s="14"/>
      <c r="T109" s="14"/>
      <c r="U109" s="14"/>
      <c r="V109" s="14"/>
      <c r="W109" s="14"/>
      <c r="X109" s="14"/>
      <c r="Y109" s="243"/>
      <c r="Z109" s="243"/>
      <c r="AA109" s="243"/>
      <c r="AB109" s="243"/>
      <c r="AC109" s="243"/>
      <c r="AD109" s="14"/>
      <c r="AE109" s="14"/>
      <c r="AF109" s="14"/>
      <c r="AG109" s="14"/>
      <c r="AH109" s="14"/>
      <c r="AI109" s="14"/>
    </row>
    <row r="110" spans="1:35" s="116" customFormat="1" ht="20.100000000000001" customHeight="1">
      <c r="A110" s="14"/>
      <c r="C110" s="14"/>
      <c r="D110" s="14" t="s">
        <v>349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241"/>
      <c r="Q110" s="14"/>
      <c r="R110" s="14"/>
      <c r="S110" s="14"/>
      <c r="T110" s="14"/>
      <c r="U110" s="14"/>
      <c r="V110" s="14"/>
      <c r="W110" s="14"/>
      <c r="X110" s="14"/>
      <c r="Y110" s="243"/>
      <c r="Z110" s="243"/>
      <c r="AA110" s="243"/>
      <c r="AB110" s="243"/>
      <c r="AC110" s="243"/>
      <c r="AD110" s="14"/>
      <c r="AE110" s="14"/>
      <c r="AF110" s="14"/>
      <c r="AG110" s="14"/>
      <c r="AH110" s="14"/>
      <c r="AI110" s="14"/>
    </row>
    <row r="111" spans="1:35" s="116" customFormat="1" ht="20.100000000000001" customHeight="1">
      <c r="A111" s="14"/>
      <c r="C111" s="14"/>
      <c r="D111" s="14" t="s">
        <v>173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241"/>
      <c r="Q111" s="14"/>
      <c r="R111" s="14"/>
      <c r="S111" s="14"/>
      <c r="T111" s="14"/>
      <c r="U111" s="14"/>
      <c r="V111" s="14"/>
      <c r="W111" s="14"/>
      <c r="X111" s="14"/>
      <c r="Y111" s="243"/>
      <c r="Z111" s="243"/>
      <c r="AA111" s="243"/>
      <c r="AB111" s="243"/>
      <c r="AC111" s="243"/>
      <c r="AD111" s="14"/>
      <c r="AE111" s="14"/>
      <c r="AF111" s="14"/>
      <c r="AG111" s="14"/>
      <c r="AH111" s="14"/>
      <c r="AI111" s="14"/>
    </row>
    <row r="112" spans="1:35" s="116" customFormat="1" ht="20.100000000000001" customHeight="1">
      <c r="A112" s="14"/>
      <c r="C112" s="14">
        <v>2022575390</v>
      </c>
      <c r="D112" s="14" t="s">
        <v>413</v>
      </c>
      <c r="E112" s="14" t="str">
        <f>"https://m.place.naver.com/place/" &amp;C112 &amp; "/home"</f>
        <v>https://m.place.naver.com/place/2022575390/home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241"/>
      <c r="Q112" s="14"/>
      <c r="R112" s="14"/>
      <c r="S112" s="14"/>
      <c r="T112" s="14"/>
      <c r="U112" s="14"/>
      <c r="V112" s="14"/>
      <c r="W112" s="14"/>
      <c r="X112" s="14"/>
      <c r="Y112" s="243"/>
      <c r="Z112" s="243"/>
      <c r="AA112" s="243"/>
      <c r="AB112" s="243"/>
      <c r="AC112" s="243"/>
      <c r="AD112" s="14"/>
      <c r="AE112" s="14"/>
      <c r="AF112" s="14"/>
      <c r="AG112" s="14"/>
      <c r="AH112" s="14"/>
      <c r="AI112" s="14"/>
    </row>
    <row r="113" spans="1:38" s="116" customFormat="1" ht="20.100000000000001" customHeight="1">
      <c r="A113" s="14"/>
      <c r="C113" s="14">
        <v>1768171911</v>
      </c>
      <c r="D113" s="14" t="s">
        <v>411</v>
      </c>
      <c r="E113" s="14" t="str">
        <f>"https://m.place.naver.com/place/" &amp;C113 &amp; "/home"</f>
        <v>https://m.place.naver.com/place/1768171911/home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241"/>
      <c r="Q113" s="14"/>
      <c r="R113" s="14"/>
      <c r="S113" s="14"/>
      <c r="T113" s="14"/>
      <c r="U113" s="14"/>
      <c r="V113" s="14"/>
      <c r="W113" s="14"/>
      <c r="X113" s="14"/>
      <c r="Y113" s="243"/>
      <c r="Z113" s="243"/>
      <c r="AA113" s="243"/>
      <c r="AB113" s="243"/>
      <c r="AC113" s="243"/>
      <c r="AD113" s="14"/>
      <c r="AE113" s="14"/>
      <c r="AF113" s="14"/>
      <c r="AG113" s="14"/>
      <c r="AH113" s="14"/>
      <c r="AI113" s="14"/>
    </row>
    <row r="114" spans="1:38" s="116" customFormat="1" ht="20.100000000000001" customHeight="1">
      <c r="A114" s="14"/>
      <c r="C114" s="14"/>
      <c r="D114" s="14" t="s">
        <v>503</v>
      </c>
      <c r="E114" s="14" t="str">
        <f>"https://m.place.naver.com/place/" &amp;C114 &amp; "/home"</f>
        <v>https://m.place.naver.com/place//home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241"/>
      <c r="Q114" s="14"/>
      <c r="R114" s="14"/>
      <c r="S114" s="14"/>
      <c r="T114" s="14"/>
      <c r="U114" s="14"/>
      <c r="V114" s="14"/>
      <c r="W114" s="14"/>
      <c r="X114" s="14"/>
      <c r="Y114" s="243"/>
      <c r="Z114" s="243"/>
      <c r="AA114" s="243"/>
      <c r="AB114" s="243"/>
      <c r="AC114" s="243"/>
      <c r="AD114" s="244"/>
      <c r="AE114" s="244"/>
      <c r="AF114" s="14"/>
      <c r="AG114" s="14"/>
      <c r="AH114" s="14"/>
      <c r="AI114" s="14"/>
    </row>
    <row r="115" spans="1:38" s="116" customFormat="1" ht="20.100000000000001" customHeight="1">
      <c r="A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241"/>
      <c r="Q115" s="14"/>
      <c r="R115" s="14"/>
      <c r="S115" s="14"/>
      <c r="T115" s="14"/>
      <c r="U115" s="14"/>
      <c r="V115" s="14"/>
      <c r="W115" s="14"/>
      <c r="X115" s="14"/>
      <c r="Y115" s="243"/>
      <c r="Z115" s="243"/>
      <c r="AA115" s="243"/>
      <c r="AB115" s="243"/>
      <c r="AC115" s="243"/>
      <c r="AD115" s="14"/>
      <c r="AE115" s="14"/>
      <c r="AF115" s="14"/>
      <c r="AG115" s="14"/>
      <c r="AH115" s="14"/>
      <c r="AI115" s="14"/>
    </row>
    <row r="116" spans="1:38" s="116" customFormat="1" ht="20.100000000000001" customHeight="1">
      <c r="A116" s="14"/>
      <c r="C116" s="14"/>
      <c r="D116" s="14" t="s">
        <v>125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241"/>
      <c r="Q116" s="14"/>
      <c r="R116" s="14"/>
      <c r="S116" s="14"/>
      <c r="T116" s="14"/>
      <c r="U116" s="14"/>
      <c r="V116" s="14"/>
      <c r="W116" s="14"/>
      <c r="X116" s="14"/>
      <c r="Y116" s="243"/>
      <c r="Z116" s="243"/>
      <c r="AA116" s="243"/>
      <c r="AB116" s="243"/>
      <c r="AC116" s="243"/>
      <c r="AD116" s="14"/>
      <c r="AE116" s="14"/>
      <c r="AF116" s="14"/>
      <c r="AG116" s="14"/>
      <c r="AH116" s="14"/>
      <c r="AI116" s="14"/>
      <c r="AL116" s="116">
        <v>64680</v>
      </c>
    </row>
    <row r="117" spans="1:38" s="116" customFormat="1" ht="20.100000000000001" customHeight="1">
      <c r="A117" s="14"/>
      <c r="C117" s="14"/>
      <c r="D117" s="14" t="s">
        <v>49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241"/>
      <c r="Q117" s="14"/>
      <c r="R117" s="14"/>
      <c r="S117" s="14"/>
      <c r="T117" s="14"/>
      <c r="U117" s="14"/>
      <c r="V117" s="14"/>
      <c r="W117" s="14"/>
      <c r="X117" s="14"/>
      <c r="Y117" s="243"/>
      <c r="Z117" s="243"/>
      <c r="AA117" s="243"/>
      <c r="AB117" s="243"/>
      <c r="AC117" s="243"/>
      <c r="AD117" s="14"/>
      <c r="AE117" s="14"/>
      <c r="AF117" s="14"/>
      <c r="AG117" s="14"/>
      <c r="AH117" s="14"/>
      <c r="AI117" s="14"/>
    </row>
    <row r="118" spans="1:38" s="116" customFormat="1" ht="20.100000000000001" customHeight="1">
      <c r="A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241"/>
      <c r="Q118" s="14"/>
      <c r="R118" s="14"/>
      <c r="S118" s="14"/>
      <c r="T118" s="14"/>
      <c r="U118" s="14"/>
      <c r="V118" s="14"/>
      <c r="W118" s="14"/>
      <c r="X118" s="14"/>
      <c r="Y118" s="243"/>
      <c r="Z118" s="243"/>
      <c r="AA118" s="243"/>
      <c r="AB118" s="243"/>
      <c r="AC118" s="243"/>
      <c r="AD118" s="14"/>
      <c r="AE118" s="14"/>
      <c r="AF118" s="14"/>
      <c r="AG118" s="14"/>
      <c r="AH118" s="14"/>
      <c r="AI118" s="14"/>
    </row>
    <row r="119" spans="1:38" s="116" customFormat="1" ht="23.25" customHeight="1">
      <c r="A119" s="14"/>
      <c r="B119" s="14"/>
      <c r="C119" s="14">
        <v>1761921683</v>
      </c>
      <c r="D119" s="14" t="s">
        <v>502</v>
      </c>
      <c r="E119" s="14" t="str">
        <f>"https://m.place.naver.com/place/" &amp;C119 &amp; "/home"</f>
        <v>https://m.place.naver.com/place/1761921683/home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241"/>
      <c r="Q119" s="14"/>
      <c r="R119" s="14"/>
      <c r="S119" s="14"/>
      <c r="T119" s="242"/>
      <c r="U119" s="215"/>
      <c r="V119" s="216"/>
      <c r="W119" s="242"/>
      <c r="X119" s="242"/>
      <c r="Y119" s="243"/>
      <c r="Z119" s="243"/>
      <c r="AA119" s="243"/>
      <c r="AB119" s="243"/>
      <c r="AC119" s="243"/>
      <c r="AD119" s="244"/>
      <c r="AE119" s="244"/>
      <c r="AF119" s="14"/>
      <c r="AG119" s="14"/>
      <c r="AH119" s="14"/>
      <c r="AI119" s="14"/>
    </row>
    <row r="120" spans="1:38" s="116" customFormat="1" ht="23.25" customHeight="1">
      <c r="A120" s="14" t="s">
        <v>508</v>
      </c>
      <c r="B120" s="239">
        <v>45994</v>
      </c>
      <c r="C120" s="14">
        <v>2011495902</v>
      </c>
      <c r="D120" s="14" t="s">
        <v>346</v>
      </c>
      <c r="E120" s="14" t="str">
        <f>"https://m.place.naver.com/place/" &amp;C120 &amp; "/home"</f>
        <v>https://m.place.naver.com/place/2011495902/home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241"/>
      <c r="Q120" s="14"/>
      <c r="R120" s="14"/>
      <c r="S120" s="14"/>
      <c r="T120" s="242"/>
      <c r="U120" s="215"/>
      <c r="V120" s="216"/>
      <c r="W120" s="242"/>
      <c r="X120" s="242"/>
      <c r="Y120" s="243"/>
      <c r="Z120" s="243"/>
      <c r="AA120" s="243"/>
      <c r="AB120" s="243"/>
      <c r="AC120" s="243"/>
      <c r="AD120" s="14"/>
      <c r="AE120" s="14"/>
      <c r="AF120" s="14"/>
      <c r="AG120" s="14"/>
      <c r="AH120" s="14"/>
      <c r="AI120" s="14"/>
    </row>
    <row r="121" spans="1:38" s="116" customFormat="1" ht="23.25" customHeight="1">
      <c r="A121" s="14"/>
      <c r="B121" s="14"/>
      <c r="C121" s="14">
        <v>2036330504</v>
      </c>
      <c r="D121" s="14" t="s">
        <v>347</v>
      </c>
      <c r="E121" s="14" t="str">
        <f>"https://m.place.naver.com/place/" &amp;C121 &amp; "/home"</f>
        <v>https://m.place.naver.com/place/2036330504/home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241"/>
      <c r="Q121" s="14"/>
      <c r="R121" s="14"/>
      <c r="S121" s="14"/>
      <c r="T121" s="242"/>
      <c r="U121" s="215"/>
      <c r="V121" s="216"/>
      <c r="W121" s="242"/>
      <c r="X121" s="242"/>
      <c r="Y121" s="243"/>
      <c r="Z121" s="243"/>
      <c r="AA121" s="243"/>
      <c r="AB121" s="243"/>
      <c r="AC121" s="243"/>
      <c r="AD121" s="14"/>
      <c r="AE121" s="14"/>
      <c r="AF121" s="14"/>
      <c r="AG121" s="14"/>
      <c r="AH121" s="14"/>
      <c r="AI121" s="14"/>
    </row>
    <row r="122" spans="1:38" s="116" customFormat="1" ht="23.25" customHeight="1">
      <c r="A122" s="14"/>
      <c r="B122" s="14"/>
      <c r="C122" s="14">
        <v>2048523733</v>
      </c>
      <c r="D122" s="14" t="s">
        <v>500</v>
      </c>
      <c r="E122" s="14" t="str">
        <f>"https://m.place.naver.com/place/" &amp;C122 &amp; "/home"</f>
        <v>https://m.place.naver.com/place/2048523733/home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241"/>
      <c r="Q122" s="14"/>
      <c r="R122" s="14"/>
      <c r="S122" s="14"/>
      <c r="T122" s="242"/>
      <c r="U122" s="215"/>
      <c r="V122" s="216"/>
      <c r="W122" s="242"/>
      <c r="X122" s="242"/>
      <c r="Y122" s="243"/>
      <c r="Z122" s="243"/>
      <c r="AA122" s="243"/>
      <c r="AB122" s="243"/>
      <c r="AC122" s="243"/>
      <c r="AD122" s="244"/>
      <c r="AE122" s="244"/>
      <c r="AF122" s="14"/>
      <c r="AG122" s="14"/>
      <c r="AH122" s="14"/>
      <c r="AI122" s="14"/>
    </row>
    <row r="123" spans="1:38" s="116" customFormat="1" ht="23.25" customHeight="1">
      <c r="A123" s="14"/>
      <c r="B123" s="14"/>
      <c r="C123" s="14">
        <v>2095974921</v>
      </c>
      <c r="D123" s="14" t="s">
        <v>501</v>
      </c>
      <c r="E123" s="14" t="str">
        <f>"https://m.place.naver.com/place/" &amp;C123 &amp; "/home"</f>
        <v>https://m.place.naver.com/place/2095974921/home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241"/>
      <c r="Q123" s="14"/>
      <c r="R123" s="14"/>
      <c r="S123" s="14"/>
      <c r="T123" s="242"/>
      <c r="U123" s="215"/>
      <c r="V123" s="216"/>
      <c r="W123" s="242"/>
      <c r="X123" s="242"/>
      <c r="Y123" s="243"/>
      <c r="Z123" s="243"/>
      <c r="AA123" s="243"/>
      <c r="AB123" s="243"/>
      <c r="AC123" s="243"/>
      <c r="AD123" s="244"/>
      <c r="AE123" s="244"/>
      <c r="AF123" s="14"/>
      <c r="AG123" s="14"/>
      <c r="AH123" s="14"/>
      <c r="AI123" s="14"/>
    </row>
    <row r="124" spans="1:38" s="116" customFormat="1" ht="20.100000000000001" customHeight="1">
      <c r="A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241"/>
      <c r="Q124" s="14"/>
      <c r="R124" s="14"/>
      <c r="S124" s="14"/>
      <c r="T124" s="14"/>
      <c r="U124" s="14"/>
      <c r="V124" s="14"/>
      <c r="W124" s="14"/>
      <c r="X124" s="14"/>
      <c r="Y124" s="243"/>
      <c r="Z124" s="243"/>
      <c r="AA124" s="243"/>
      <c r="AB124" s="243"/>
      <c r="AC124" s="243"/>
      <c r="AD124" s="14"/>
      <c r="AE124" s="14"/>
      <c r="AF124" s="14"/>
      <c r="AG124" s="14"/>
      <c r="AH124" s="14"/>
      <c r="AI124" s="14"/>
    </row>
    <row r="125" spans="1:38" s="116" customFormat="1" ht="20.100000000000001" customHeight="1">
      <c r="A125" s="14"/>
      <c r="C125" s="14"/>
      <c r="D125" s="14" t="s">
        <v>133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241"/>
      <c r="Q125" s="14"/>
      <c r="R125" s="14"/>
      <c r="S125" s="14"/>
      <c r="T125" s="14"/>
      <c r="U125" s="14"/>
      <c r="V125" s="14"/>
      <c r="W125" s="14"/>
      <c r="X125" s="14"/>
      <c r="Y125" s="243"/>
      <c r="Z125" s="243"/>
      <c r="AA125" s="243"/>
      <c r="AB125" s="243"/>
      <c r="AC125" s="243"/>
      <c r="AD125" s="14"/>
      <c r="AE125" s="14"/>
      <c r="AF125" s="14"/>
      <c r="AG125" s="14"/>
      <c r="AH125" s="14"/>
      <c r="AI125" s="14"/>
    </row>
    <row r="126" spans="1:38" s="116" customFormat="1" ht="20.100000000000001" customHeight="1">
      <c r="A126" s="14"/>
      <c r="C126" s="14"/>
      <c r="D126" s="14" t="s">
        <v>131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241"/>
      <c r="Q126" s="14"/>
      <c r="R126" s="14"/>
      <c r="S126" s="14"/>
      <c r="T126" s="14"/>
      <c r="U126" s="14"/>
      <c r="V126" s="14"/>
      <c r="W126" s="14"/>
      <c r="X126" s="14"/>
      <c r="Y126" s="243"/>
      <c r="Z126" s="243"/>
      <c r="AA126" s="243"/>
      <c r="AB126" s="243"/>
      <c r="AC126" s="243"/>
      <c r="AD126" s="14"/>
      <c r="AE126" s="14"/>
      <c r="AF126" s="14"/>
      <c r="AG126" s="14"/>
      <c r="AH126" s="14"/>
      <c r="AI126" s="14"/>
    </row>
    <row r="127" spans="1:38" s="116" customFormat="1" ht="20.100000000000001" customHeight="1">
      <c r="A127" s="14"/>
      <c r="C127" s="14"/>
      <c r="D127" s="14" t="s">
        <v>132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241"/>
      <c r="Q127" s="14"/>
      <c r="R127" s="14"/>
      <c r="S127" s="14"/>
      <c r="T127" s="14"/>
      <c r="U127" s="14"/>
      <c r="V127" s="14"/>
      <c r="W127" s="14"/>
      <c r="X127" s="14"/>
      <c r="Y127" s="243"/>
      <c r="Z127" s="243"/>
      <c r="AA127" s="243"/>
      <c r="AB127" s="243"/>
      <c r="AC127" s="243"/>
      <c r="AD127" s="14"/>
      <c r="AE127" s="14"/>
      <c r="AF127" s="14"/>
      <c r="AG127" s="14"/>
      <c r="AH127" s="14"/>
      <c r="AI127" s="14"/>
    </row>
    <row r="128" spans="1:38" s="116" customFormat="1" ht="20.100000000000001" customHeight="1">
      <c r="A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241"/>
      <c r="Q128" s="14"/>
      <c r="R128" s="14"/>
      <c r="S128" s="14"/>
      <c r="T128" s="14"/>
      <c r="U128" s="14"/>
      <c r="V128" s="14"/>
      <c r="W128" s="14"/>
      <c r="X128" s="14"/>
      <c r="Y128" s="243"/>
      <c r="Z128" s="243"/>
      <c r="AA128" s="243"/>
      <c r="AB128" s="243"/>
      <c r="AC128" s="243"/>
      <c r="AD128" s="14"/>
      <c r="AE128" s="14"/>
      <c r="AF128" s="14"/>
      <c r="AG128" s="14"/>
      <c r="AH128" s="14"/>
      <c r="AI128" s="14"/>
    </row>
    <row r="129" spans="1:35" s="116" customFormat="1" ht="20.100000000000001" customHeight="1">
      <c r="A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241"/>
      <c r="Q129" s="14"/>
      <c r="R129" s="14"/>
      <c r="S129" s="14"/>
      <c r="T129" s="14"/>
      <c r="U129" s="14"/>
      <c r="V129" s="14"/>
      <c r="W129" s="14"/>
      <c r="X129" s="14"/>
      <c r="Y129" s="243"/>
      <c r="Z129" s="243"/>
      <c r="AA129" s="243"/>
      <c r="AB129" s="243"/>
      <c r="AC129" s="243"/>
      <c r="AD129" s="14"/>
      <c r="AE129" s="14"/>
      <c r="AF129" s="14"/>
      <c r="AG129" s="14"/>
      <c r="AH129" s="14"/>
      <c r="AI129" s="14"/>
    </row>
    <row r="130" spans="1:35" s="116" customFormat="1" ht="20.100000000000001" customHeight="1">
      <c r="A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241"/>
      <c r="Q130" s="14"/>
      <c r="R130" s="14"/>
      <c r="S130" s="14"/>
      <c r="T130" s="14"/>
      <c r="U130" s="14"/>
      <c r="V130" s="14"/>
      <c r="W130" s="14"/>
      <c r="X130" s="14"/>
      <c r="Y130" s="243"/>
      <c r="Z130" s="243"/>
      <c r="AA130" s="243"/>
      <c r="AB130" s="243"/>
      <c r="AC130" s="243"/>
      <c r="AD130" s="14"/>
      <c r="AE130" s="14"/>
      <c r="AF130" s="14"/>
      <c r="AG130" s="14"/>
      <c r="AH130" s="14"/>
      <c r="AI130" s="14"/>
    </row>
    <row r="131" spans="1:35" s="116" customFormat="1" ht="20.100000000000001" customHeight="1">
      <c r="A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241"/>
      <c r="Q131" s="14"/>
      <c r="R131" s="14"/>
      <c r="S131" s="14"/>
      <c r="T131" s="14"/>
      <c r="U131" s="14"/>
      <c r="V131" s="14"/>
      <c r="W131" s="14"/>
      <c r="X131" s="14"/>
      <c r="Y131" s="243"/>
      <c r="Z131" s="243"/>
      <c r="AA131" s="243"/>
      <c r="AB131" s="243"/>
      <c r="AC131" s="243"/>
      <c r="AD131" s="14"/>
      <c r="AE131" s="14"/>
      <c r="AF131" s="14"/>
      <c r="AG131" s="14"/>
      <c r="AH131" s="14"/>
      <c r="AI131" s="14"/>
    </row>
    <row r="132" spans="1:35" s="116" customFormat="1" ht="20.100000000000001" customHeight="1">
      <c r="A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241"/>
      <c r="Q132" s="14"/>
      <c r="R132" s="14"/>
      <c r="S132" s="14"/>
      <c r="T132" s="14"/>
      <c r="U132" s="14"/>
      <c r="V132" s="14"/>
      <c r="W132" s="14"/>
      <c r="X132" s="14"/>
      <c r="Y132" s="243"/>
      <c r="Z132" s="243"/>
      <c r="AA132" s="243"/>
      <c r="AB132" s="243"/>
      <c r="AC132" s="243"/>
      <c r="AD132" s="14"/>
      <c r="AE132" s="14"/>
      <c r="AF132" s="14"/>
      <c r="AG132" s="14"/>
      <c r="AH132" s="14"/>
      <c r="AI132" s="14"/>
    </row>
  </sheetData>
  <phoneticPr fontId="1" type="noConversion"/>
  <hyperlinks>
    <hyperlink ref="E38" r:id="rId1" xr:uid="{570AB876-E93F-4E95-859C-E59C6E5E2537}"/>
    <hyperlink ref="E39" r:id="rId2" xr:uid="{8EAAE8BA-027D-432A-A185-3D5187193DD5}"/>
    <hyperlink ref="E32" r:id="rId3" xr:uid="{49A70314-3833-4260-AD94-19E1314DEAAD}"/>
    <hyperlink ref="E64" r:id="rId4" display="https://m.place.naver.com/hairshop/1509576334/home" xr:uid="{0C3C9284-C333-4185-B4F8-553298A20CEB}"/>
    <hyperlink ref="E31" r:id="rId5" xr:uid="{5ED821A2-4613-4F9C-8018-04012D78E47C}"/>
    <hyperlink ref="E76" r:id="rId6" xr:uid="{B51A15CB-7D21-4DB6-B076-DDC8A84D77AE}"/>
    <hyperlink ref="E34" r:id="rId7" xr:uid="{D5070219-4C55-4275-851C-F7DF629E8368}"/>
    <hyperlink ref="E35" r:id="rId8" xr:uid="{B0A73A81-7782-4BC0-A6EE-4E09C98A0DED}"/>
    <hyperlink ref="E28" r:id="rId9" xr:uid="{99CE1B17-2336-4B53-8DE2-1F9A27E1599D}"/>
    <hyperlink ref="E80" r:id="rId10" xr:uid="{6D0390F1-82C8-4B50-8F2E-8BBC74008DBF}"/>
    <hyperlink ref="E81" r:id="rId11" xr:uid="{DDDA92E5-879A-4CE9-9251-0B36FA9D7878}"/>
    <hyperlink ref="E37" r:id="rId12" xr:uid="{DCC639D6-7798-48AA-B2B3-7405A4568B0D}"/>
  </hyperlinks>
  <pageMargins left="0.7" right="0.7" top="0.75" bottom="0.75" header="0.3" footer="0.3"/>
  <pageSetup paperSize="9" orientation="portrait" r:id="rId13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94E7-338D-4DAA-93AE-62A225E09328}">
  <dimension ref="A1:AO130"/>
  <sheetViews>
    <sheetView tabSelected="1" zoomScale="85" zoomScaleNormal="85" workbookViewId="0">
      <pane ySplit="2" topLeftCell="A3" activePane="bottomLeft" state="frozen"/>
      <selection activeCell="D1" sqref="D1"/>
      <selection pane="bottomLeft" activeCell="I13" sqref="I13"/>
    </sheetView>
  </sheetViews>
  <sheetFormatPr defaultRowHeight="16.5"/>
  <cols>
    <col min="1" max="1" width="12.25" style="2" customWidth="1"/>
    <col min="2" max="2" width="10" customWidth="1"/>
    <col min="3" max="3" width="13.25" style="15" bestFit="1" customWidth="1"/>
    <col min="4" max="4" width="20.25" style="15" bestFit="1" customWidth="1"/>
    <col min="5" max="5" width="9" customWidth="1"/>
    <col min="6" max="7" width="7.625" customWidth="1"/>
    <col min="8" max="11" width="9" customWidth="1"/>
    <col min="12" max="15" width="7.625" customWidth="1"/>
    <col min="16" max="17" width="7.625" style="2" customWidth="1"/>
    <col min="18" max="19" width="9.25" style="2" customWidth="1"/>
    <col min="20" max="20" width="10.875" style="2" customWidth="1"/>
    <col min="21" max="21" width="8.875" style="15" customWidth="1"/>
    <col min="22" max="22" width="10" style="2" customWidth="1"/>
    <col min="23" max="23" width="9.25" style="2" customWidth="1"/>
    <col min="24" max="24" width="10" style="2" customWidth="1"/>
    <col min="25" max="25" width="8.25" style="15" bestFit="1" customWidth="1"/>
    <col min="26" max="26" width="8.25" style="15" customWidth="1"/>
    <col min="27" max="32" width="8.625" style="2"/>
    <col min="33" max="33" width="30.625" style="2" customWidth="1"/>
    <col min="34" max="35" width="20.25" style="15" customWidth="1"/>
    <col min="36" max="36" width="9" style="2" customWidth="1"/>
    <col min="37" max="37" width="8.625" style="2"/>
    <col min="38" max="39" width="15.125" style="15" customWidth="1"/>
    <col min="40" max="40" width="9" style="2" customWidth="1"/>
    <col min="41" max="41" width="8.625" style="2"/>
  </cols>
  <sheetData>
    <row r="1" spans="1:41" ht="36" customHeight="1" thickBot="1">
      <c r="A1" s="238" t="s">
        <v>568</v>
      </c>
      <c r="B1" s="238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5"/>
      <c r="V1" s="15"/>
      <c r="Y1" s="2"/>
      <c r="Z1" s="2"/>
      <c r="AD1" s="15"/>
      <c r="AE1" s="15"/>
      <c r="AF1" s="15"/>
      <c r="AG1" s="15"/>
      <c r="AH1" s="2"/>
      <c r="AI1" s="2"/>
      <c r="AJ1"/>
      <c r="AK1"/>
      <c r="AL1"/>
      <c r="AM1"/>
      <c r="AN1"/>
      <c r="AO1"/>
    </row>
    <row r="2" spans="1:41" s="270" customFormat="1" ht="23.25" customHeight="1" thickBot="1">
      <c r="A2" s="253" t="s">
        <v>505</v>
      </c>
      <c r="B2" s="254" t="s">
        <v>519</v>
      </c>
      <c r="C2" s="255" t="s">
        <v>427</v>
      </c>
      <c r="D2" s="256" t="s">
        <v>198</v>
      </c>
      <c r="E2" s="255" t="s">
        <v>589</v>
      </c>
      <c r="F2" s="258" t="s">
        <v>524</v>
      </c>
      <c r="G2" s="257" t="s">
        <v>75</v>
      </c>
      <c r="H2" s="255" t="s">
        <v>439</v>
      </c>
      <c r="I2" s="259" t="s">
        <v>578</v>
      </c>
      <c r="J2" s="259" t="s">
        <v>567</v>
      </c>
      <c r="K2" s="259" t="s">
        <v>499</v>
      </c>
      <c r="L2" s="258" t="s">
        <v>498</v>
      </c>
      <c r="M2" s="259" t="s">
        <v>440</v>
      </c>
      <c r="N2" s="256" t="s">
        <v>371</v>
      </c>
      <c r="O2" s="256" t="s">
        <v>299</v>
      </c>
      <c r="P2" s="260" t="s">
        <v>300</v>
      </c>
      <c r="Q2" s="258" t="s">
        <v>156</v>
      </c>
      <c r="R2" s="261" t="s">
        <v>121</v>
      </c>
      <c r="S2" s="256" t="s">
        <v>581</v>
      </c>
      <c r="T2" s="262" t="s">
        <v>54</v>
      </c>
      <c r="U2" s="263" t="s">
        <v>116</v>
      </c>
      <c r="V2" s="263" t="s">
        <v>339</v>
      </c>
      <c r="W2" s="264" t="s">
        <v>189</v>
      </c>
      <c r="X2" s="265" t="s">
        <v>53</v>
      </c>
      <c r="Y2" s="266" t="s">
        <v>195</v>
      </c>
      <c r="Z2" s="267" t="s">
        <v>375</v>
      </c>
      <c r="AA2" s="267" t="s">
        <v>376</v>
      </c>
      <c r="AB2" s="268" t="s">
        <v>196</v>
      </c>
      <c r="AC2" s="269" t="s">
        <v>197</v>
      </c>
      <c r="AD2" s="256" t="s">
        <v>378</v>
      </c>
      <c r="AE2" s="256" t="s">
        <v>361</v>
      </c>
      <c r="AF2" s="256" t="s">
        <v>159</v>
      </c>
      <c r="AG2" s="256" t="s">
        <v>11</v>
      </c>
      <c r="AH2" s="261" t="s">
        <v>199</v>
      </c>
      <c r="AI2" s="256"/>
    </row>
    <row r="3" spans="1:41" s="252" customFormat="1" ht="23.25" customHeight="1">
      <c r="A3" s="53" t="s">
        <v>507</v>
      </c>
      <c r="B3" s="248">
        <v>46007</v>
      </c>
      <c r="C3" s="53">
        <v>2064392403</v>
      </c>
      <c r="D3" s="53" t="s">
        <v>419</v>
      </c>
      <c r="E3" s="53" t="str">
        <f>"https://m.place.naver.com/place/" &amp;C3 &amp; "/home"</f>
        <v>https://m.place.naver.com/place/2064392403/home</v>
      </c>
      <c r="F3" s="53"/>
      <c r="G3" s="53"/>
      <c r="H3" s="53"/>
      <c r="I3" s="53">
        <v>300</v>
      </c>
      <c r="J3" s="53"/>
      <c r="K3" s="53"/>
      <c r="L3" s="53"/>
      <c r="M3" s="53"/>
      <c r="N3" s="53"/>
      <c r="O3" s="53"/>
      <c r="P3" s="249"/>
      <c r="Q3" s="53">
        <v>100</v>
      </c>
      <c r="R3" s="53"/>
      <c r="S3" s="53"/>
      <c r="T3" s="250"/>
      <c r="U3" s="236"/>
      <c r="V3" s="237"/>
      <c r="W3" s="250"/>
      <c r="X3" s="250"/>
      <c r="Y3" s="251"/>
      <c r="Z3" s="251"/>
      <c r="AA3" s="251"/>
      <c r="AB3" s="251"/>
      <c r="AC3" s="251"/>
      <c r="AD3" s="53"/>
      <c r="AE3" s="53"/>
      <c r="AF3" s="53"/>
      <c r="AG3" s="53"/>
      <c r="AH3" s="53"/>
      <c r="AI3" s="53"/>
    </row>
    <row r="4" spans="1:41" s="116" customFormat="1" ht="23.2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241"/>
      <c r="Q4" s="14"/>
      <c r="R4" s="14"/>
      <c r="S4" s="14"/>
      <c r="T4" s="242"/>
      <c r="U4" s="215"/>
      <c r="V4" s="216"/>
      <c r="W4" s="242"/>
      <c r="X4" s="242"/>
      <c r="Y4" s="243"/>
      <c r="Z4" s="243"/>
      <c r="AA4" s="243"/>
      <c r="AB4" s="243"/>
      <c r="AC4" s="243"/>
      <c r="AD4" s="244"/>
      <c r="AE4" s="244"/>
      <c r="AF4" s="14"/>
      <c r="AG4" s="14"/>
      <c r="AH4" s="14"/>
      <c r="AI4" s="14"/>
    </row>
    <row r="5" spans="1:41" s="116" customFormat="1" ht="23.25" customHeight="1">
      <c r="A5" s="14" t="s">
        <v>508</v>
      </c>
      <c r="B5" s="239">
        <v>46008</v>
      </c>
      <c r="C5" s="14">
        <v>1173433139</v>
      </c>
      <c r="D5" s="14" t="s">
        <v>442</v>
      </c>
      <c r="E5" s="14" t="str">
        <f>"https://m.place.naver.com/place/" &amp;C5 &amp; "/home"</f>
        <v>https://m.place.naver.com/place/1173433139/home</v>
      </c>
      <c r="F5" s="14">
        <v>100</v>
      </c>
      <c r="G5" s="14"/>
      <c r="H5" s="14"/>
      <c r="I5" s="14"/>
      <c r="J5" s="14"/>
      <c r="K5" s="14"/>
      <c r="L5" s="14"/>
      <c r="M5" s="14"/>
      <c r="N5" s="14"/>
      <c r="O5" s="14"/>
      <c r="P5" s="241"/>
      <c r="Q5" s="14">
        <v>100</v>
      </c>
      <c r="R5" s="14"/>
      <c r="S5" s="14"/>
      <c r="T5" s="242"/>
      <c r="U5" s="215"/>
      <c r="V5" s="216"/>
      <c r="W5" s="242"/>
      <c r="X5" s="242"/>
      <c r="Y5" s="243"/>
      <c r="Z5" s="243"/>
      <c r="AA5" s="243"/>
      <c r="AB5" s="243"/>
      <c r="AC5" s="243"/>
      <c r="AD5" s="244"/>
      <c r="AE5" s="244"/>
      <c r="AF5" s="14"/>
      <c r="AG5" s="14"/>
      <c r="AH5" s="14"/>
      <c r="AI5" s="14"/>
    </row>
    <row r="6" spans="1:41" s="116" customFormat="1" ht="20.100000000000001" customHeight="1">
      <c r="A6" s="14"/>
      <c r="C6" s="14">
        <v>36399674</v>
      </c>
      <c r="D6" s="14" t="s">
        <v>73</v>
      </c>
      <c r="E6" s="14" t="str">
        <f>"https://m.place.naver.com/place/" &amp;C6 &amp; "/home"</f>
        <v>https://m.place.naver.com/place/36399674/home</v>
      </c>
      <c r="F6" s="14"/>
      <c r="G6" s="14"/>
      <c r="H6" s="14">
        <v>150</v>
      </c>
      <c r="I6" s="14"/>
      <c r="J6" s="14"/>
      <c r="K6" s="14"/>
      <c r="L6" s="14"/>
      <c r="M6" s="14"/>
      <c r="N6" s="14"/>
      <c r="O6" s="14"/>
      <c r="P6" s="241"/>
      <c r="Q6" s="14">
        <v>100</v>
      </c>
      <c r="R6" s="14"/>
      <c r="S6" s="14"/>
      <c r="T6" s="14"/>
      <c r="U6" s="14"/>
      <c r="V6" s="14"/>
      <c r="W6" s="14"/>
      <c r="X6" s="14"/>
      <c r="Y6" s="243"/>
      <c r="Z6" s="243"/>
      <c r="AA6" s="243"/>
      <c r="AB6" s="243"/>
      <c r="AC6" s="243"/>
      <c r="AD6" s="244"/>
      <c r="AE6" s="244"/>
      <c r="AF6" s="14"/>
      <c r="AG6" s="14"/>
      <c r="AH6" s="14"/>
      <c r="AI6" s="14"/>
    </row>
    <row r="8" spans="1:41" s="116" customFormat="1" ht="20.100000000000001" customHeight="1">
      <c r="A8" s="14"/>
      <c r="C8" s="14">
        <v>1773775267</v>
      </c>
      <c r="D8" s="14" t="s">
        <v>421</v>
      </c>
      <c r="E8" s="14" t="str">
        <f t="shared" ref="E8:E18" si="0">"https://m.place.naver.com/place/" &amp;C8 &amp; "/home"</f>
        <v>https://m.place.naver.com/place/1773775267/home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241"/>
      <c r="Q8" s="14"/>
      <c r="R8" s="14"/>
      <c r="S8" s="14"/>
      <c r="T8" s="14"/>
      <c r="U8" s="14"/>
      <c r="V8" s="14"/>
      <c r="W8" s="14"/>
      <c r="X8" s="14"/>
      <c r="Y8" s="243"/>
      <c r="Z8" s="243"/>
      <c r="AA8" s="243"/>
      <c r="AB8" s="243"/>
      <c r="AC8" s="243"/>
      <c r="AD8" s="14"/>
      <c r="AE8" s="14"/>
      <c r="AF8" s="14"/>
      <c r="AG8" s="14"/>
      <c r="AH8" s="14"/>
      <c r="AI8" s="14"/>
    </row>
    <row r="9" spans="1:41" s="116" customFormat="1" ht="20.100000000000001" customHeight="1">
      <c r="A9" s="14"/>
      <c r="C9" s="14">
        <v>2047453115</v>
      </c>
      <c r="D9" s="14" t="s">
        <v>423</v>
      </c>
      <c r="E9" s="14" t="str">
        <f t="shared" si="0"/>
        <v>https://m.place.naver.com/place/2047453115/home</v>
      </c>
      <c r="F9" s="14"/>
      <c r="G9" s="14"/>
      <c r="H9" s="14">
        <v>200</v>
      </c>
      <c r="I9" s="14"/>
      <c r="J9" s="14"/>
      <c r="K9" s="14"/>
      <c r="L9" s="14"/>
      <c r="M9" s="14"/>
      <c r="N9" s="14"/>
      <c r="O9" s="14"/>
      <c r="P9" s="241"/>
      <c r="Q9" s="14"/>
      <c r="R9" s="14"/>
      <c r="S9" s="14"/>
      <c r="T9" s="14"/>
      <c r="U9" s="14"/>
      <c r="V9" s="14"/>
      <c r="W9" s="14"/>
      <c r="X9" s="14"/>
      <c r="Y9" s="243"/>
      <c r="Z9" s="243"/>
      <c r="AA9" s="243"/>
      <c r="AB9" s="243"/>
      <c r="AC9" s="243"/>
      <c r="AD9" s="14"/>
      <c r="AE9" s="14"/>
      <c r="AF9" s="14"/>
      <c r="AG9" s="14"/>
      <c r="AH9" s="14"/>
      <c r="AI9" s="14"/>
    </row>
    <row r="10" spans="1:41" s="116" customFormat="1" ht="20.100000000000001" customHeight="1">
      <c r="A10" s="14"/>
      <c r="C10" s="14">
        <v>1138528583</v>
      </c>
      <c r="D10" s="14" t="s">
        <v>10</v>
      </c>
      <c r="E10" s="14" t="str">
        <f t="shared" si="0"/>
        <v>https://m.place.naver.com/place/1138528583/home</v>
      </c>
      <c r="F10" s="14">
        <v>200</v>
      </c>
      <c r="G10" s="14">
        <v>300</v>
      </c>
      <c r="H10" s="14">
        <v>300</v>
      </c>
      <c r="I10" s="14"/>
      <c r="J10" s="14"/>
      <c r="K10" s="14"/>
      <c r="L10" s="14"/>
      <c r="M10" s="14"/>
      <c r="N10" s="14"/>
      <c r="O10" s="14"/>
      <c r="P10" s="241"/>
      <c r="Q10" s="14">
        <v>200</v>
      </c>
      <c r="R10" s="14"/>
      <c r="S10" s="14"/>
      <c r="T10" s="14"/>
      <c r="U10" s="14"/>
      <c r="V10" s="14"/>
      <c r="W10" s="14"/>
      <c r="X10" s="14"/>
      <c r="Y10" s="243"/>
      <c r="Z10" s="243"/>
      <c r="AA10" s="243"/>
      <c r="AB10" s="243"/>
      <c r="AC10" s="243"/>
      <c r="AD10" s="14"/>
      <c r="AE10" s="14"/>
      <c r="AF10" s="14"/>
      <c r="AG10" s="14"/>
      <c r="AH10" s="14"/>
      <c r="AI10" s="14"/>
    </row>
    <row r="11" spans="1:41" s="4" customFormat="1" ht="20.100000000000001" customHeight="1">
      <c r="A11" s="14"/>
      <c r="B11" s="116"/>
      <c r="C11" s="14">
        <v>1374995918</v>
      </c>
      <c r="D11" s="14" t="s">
        <v>409</v>
      </c>
      <c r="E11" s="14" t="str">
        <f t="shared" si="0"/>
        <v>https://m.place.naver.com/place/1374995918/home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241"/>
      <c r="Q11" s="39"/>
      <c r="R11" s="280"/>
      <c r="S11" s="280"/>
      <c r="T11" s="14"/>
      <c r="U11" s="14"/>
      <c r="V11" s="14"/>
      <c r="W11" s="5"/>
      <c r="X11" s="5"/>
      <c r="Y11" s="243"/>
      <c r="Z11" s="243"/>
      <c r="AA11" s="243"/>
      <c r="AB11" s="243"/>
      <c r="AC11" s="243"/>
      <c r="AD11" s="14"/>
      <c r="AE11" s="14"/>
      <c r="AF11" s="14"/>
      <c r="AG11" s="14"/>
      <c r="AH11" s="14"/>
      <c r="AI11" s="5"/>
    </row>
    <row r="12" spans="1:41" s="116" customFormat="1" ht="20.100000000000001" customHeight="1">
      <c r="A12" s="14"/>
      <c r="C12" s="14">
        <v>1382904718</v>
      </c>
      <c r="D12" s="14" t="s">
        <v>403</v>
      </c>
      <c r="E12" s="14" t="str">
        <f t="shared" si="0"/>
        <v>https://m.place.naver.com/place/1382904718/home</v>
      </c>
      <c r="F12" s="14">
        <v>150</v>
      </c>
      <c r="G12" s="14"/>
      <c r="H12" s="14"/>
      <c r="I12" s="14"/>
      <c r="J12" s="14"/>
      <c r="K12" s="14"/>
      <c r="L12" s="14"/>
      <c r="M12" s="14"/>
      <c r="N12" s="14"/>
      <c r="O12" s="14"/>
      <c r="P12" s="241"/>
      <c r="Q12" s="14"/>
      <c r="R12" s="14"/>
      <c r="S12" s="14"/>
      <c r="T12" s="14"/>
      <c r="U12" s="14"/>
      <c r="V12" s="14"/>
      <c r="W12" s="14"/>
      <c r="X12" s="14"/>
      <c r="Y12" s="243"/>
      <c r="Z12" s="243"/>
      <c r="AA12" s="243"/>
      <c r="AB12" s="243"/>
      <c r="AC12" s="243"/>
      <c r="AD12" s="14"/>
      <c r="AE12" s="14"/>
      <c r="AF12" s="14"/>
      <c r="AG12" s="14"/>
      <c r="AH12" s="14"/>
      <c r="AI12" s="14"/>
    </row>
    <row r="13" spans="1:41" s="116" customFormat="1" ht="20.100000000000001" customHeight="1">
      <c r="A13" s="14"/>
      <c r="C13" s="14">
        <v>1024294111</v>
      </c>
      <c r="D13" s="14" t="s">
        <v>407</v>
      </c>
      <c r="E13" s="14" t="str">
        <f t="shared" si="0"/>
        <v>https://m.place.naver.com/place/1024294111/home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241"/>
      <c r="Q13" s="14"/>
      <c r="R13" s="14"/>
      <c r="S13" s="14"/>
      <c r="T13" s="14"/>
      <c r="U13" s="14"/>
      <c r="V13" s="14"/>
      <c r="W13" s="14"/>
      <c r="X13" s="14"/>
      <c r="Y13" s="243"/>
      <c r="Z13" s="243"/>
      <c r="AA13" s="243"/>
      <c r="AB13" s="243"/>
      <c r="AC13" s="243"/>
      <c r="AD13" s="14"/>
      <c r="AE13" s="14"/>
      <c r="AF13" s="14"/>
      <c r="AG13" s="14"/>
      <c r="AH13" s="14"/>
      <c r="AI13" s="14"/>
    </row>
    <row r="14" spans="1:41" s="116" customFormat="1" ht="20.100000000000001" customHeight="1">
      <c r="A14" s="14"/>
      <c r="C14" s="14">
        <v>2044480569</v>
      </c>
      <c r="D14" s="14" t="s">
        <v>405</v>
      </c>
      <c r="E14" s="14" t="str">
        <f t="shared" si="0"/>
        <v>https://m.place.naver.com/place/2044480569/home</v>
      </c>
      <c r="F14" s="14">
        <v>150</v>
      </c>
      <c r="G14" s="14"/>
      <c r="H14" s="14"/>
      <c r="I14" s="14"/>
      <c r="J14" s="14"/>
      <c r="K14" s="14"/>
      <c r="L14" s="14"/>
      <c r="M14" s="14"/>
      <c r="N14" s="14"/>
      <c r="O14" s="14"/>
      <c r="P14" s="241"/>
      <c r="Q14" s="14"/>
      <c r="R14" s="14"/>
      <c r="S14" s="14"/>
      <c r="T14" s="14"/>
      <c r="U14" s="14"/>
      <c r="V14" s="14"/>
      <c r="W14" s="14"/>
      <c r="X14" s="14"/>
      <c r="Y14" s="243"/>
      <c r="Z14" s="243"/>
      <c r="AA14" s="243"/>
      <c r="AB14" s="243"/>
      <c r="AC14" s="243"/>
      <c r="AD14" s="4"/>
      <c r="AE14" s="245"/>
      <c r="AF14" s="14"/>
      <c r="AG14" s="14"/>
      <c r="AH14" s="14"/>
      <c r="AI14" s="14"/>
    </row>
    <row r="15" spans="1:41" s="116" customFormat="1" ht="20.100000000000001" customHeight="1">
      <c r="A15" s="14"/>
      <c r="C15" s="14">
        <v>1012331030</v>
      </c>
      <c r="D15" s="14" t="s">
        <v>444</v>
      </c>
      <c r="E15" s="14" t="str">
        <f t="shared" si="0"/>
        <v>https://m.place.naver.com/place/1012331030/home</v>
      </c>
      <c r="F15" s="14">
        <v>100</v>
      </c>
      <c r="G15" s="14"/>
      <c r="H15" s="14"/>
      <c r="I15" s="14"/>
      <c r="J15" s="14"/>
      <c r="K15" s="14"/>
      <c r="L15" s="14"/>
      <c r="M15" s="14"/>
      <c r="N15" s="14"/>
      <c r="O15" s="14"/>
      <c r="P15" s="241"/>
      <c r="Q15" s="14"/>
      <c r="R15" s="14"/>
      <c r="S15" s="14"/>
      <c r="T15" s="14"/>
      <c r="U15" s="14"/>
      <c r="V15" s="14"/>
      <c r="W15" s="14"/>
      <c r="X15" s="14"/>
      <c r="Y15" s="243"/>
      <c r="Z15" s="243"/>
      <c r="AA15" s="243"/>
      <c r="AB15" s="243"/>
      <c r="AC15" s="243"/>
      <c r="AD15" s="14"/>
      <c r="AE15" s="246"/>
      <c r="AF15" s="14"/>
      <c r="AG15" s="14"/>
      <c r="AH15" s="14"/>
      <c r="AI15" s="14"/>
    </row>
    <row r="16" spans="1:41" s="116" customFormat="1" ht="20.100000000000001" customHeight="1">
      <c r="A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241"/>
      <c r="Q16" s="14"/>
      <c r="R16" s="14"/>
      <c r="S16" s="14"/>
      <c r="T16" s="14"/>
      <c r="U16" s="14"/>
      <c r="V16" s="14"/>
      <c r="W16" s="14"/>
      <c r="X16" s="14"/>
      <c r="Y16" s="243"/>
      <c r="Z16" s="243"/>
      <c r="AA16" s="243"/>
      <c r="AB16" s="243"/>
      <c r="AC16" s="243"/>
      <c r="AD16" s="244"/>
      <c r="AE16" s="244"/>
      <c r="AF16" s="14"/>
      <c r="AG16" s="14"/>
      <c r="AH16" s="14"/>
      <c r="AI16" s="14"/>
    </row>
    <row r="17" spans="1:35" s="116" customFormat="1" ht="20.100000000000001" customHeight="1">
      <c r="A17" s="14"/>
      <c r="C17" s="14">
        <v>1409613427</v>
      </c>
      <c r="D17" s="14" t="s">
        <v>185</v>
      </c>
      <c r="E17" s="14" t="str">
        <f t="shared" si="0"/>
        <v>https://m.place.naver.com/place/1409613427/home</v>
      </c>
      <c r="F17" s="14">
        <v>100</v>
      </c>
      <c r="G17" s="14"/>
      <c r="H17" s="14">
        <v>100</v>
      </c>
      <c r="I17" s="14"/>
      <c r="J17" s="14"/>
      <c r="K17" s="14"/>
      <c r="L17" s="14"/>
      <c r="M17" s="14"/>
      <c r="N17" s="14"/>
      <c r="O17" s="14"/>
      <c r="P17" s="241"/>
      <c r="Q17" s="14">
        <v>100</v>
      </c>
      <c r="R17" s="14"/>
      <c r="S17" s="14"/>
      <c r="T17" s="14"/>
      <c r="U17" s="14"/>
      <c r="V17" s="14"/>
      <c r="W17" s="14"/>
      <c r="X17" s="14"/>
      <c r="Y17" s="243"/>
      <c r="Z17" s="243"/>
      <c r="AA17" s="243"/>
      <c r="AB17" s="243"/>
      <c r="AC17" s="243"/>
      <c r="AD17" s="14"/>
      <c r="AE17" s="14"/>
      <c r="AF17" s="14"/>
      <c r="AG17" s="14"/>
      <c r="AH17" s="14"/>
      <c r="AI17" s="14"/>
    </row>
    <row r="18" spans="1:35" s="116" customFormat="1" ht="20.100000000000001" customHeight="1">
      <c r="A18" s="14"/>
      <c r="C18" s="14">
        <v>36073217</v>
      </c>
      <c r="D18" s="14" t="s">
        <v>400</v>
      </c>
      <c r="E18" s="14" t="str">
        <f t="shared" si="0"/>
        <v>https://m.place.naver.com/place/36073217/home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241"/>
      <c r="Q18" s="14"/>
      <c r="R18" s="14"/>
      <c r="S18" s="14"/>
      <c r="T18" s="14"/>
      <c r="U18" s="14"/>
      <c r="V18" s="14"/>
      <c r="W18" s="14"/>
      <c r="X18" s="14"/>
      <c r="Y18" s="243"/>
      <c r="Z18" s="243"/>
      <c r="AA18" s="243"/>
      <c r="AB18" s="243"/>
      <c r="AC18" s="243"/>
      <c r="AD18" s="14"/>
      <c r="AE18" s="14"/>
      <c r="AF18" s="14"/>
      <c r="AG18" s="14"/>
      <c r="AH18" s="14"/>
      <c r="AI18" s="14"/>
    </row>
    <row r="19" spans="1:35" s="116" customFormat="1" ht="20.100000000000001" customHeight="1">
      <c r="A19" s="14"/>
      <c r="C19" s="14">
        <v>1997864570</v>
      </c>
      <c r="D19" s="14" t="s">
        <v>580</v>
      </c>
      <c r="E19" s="14" t="s">
        <v>579</v>
      </c>
      <c r="F19" s="14">
        <v>150</v>
      </c>
      <c r="G19" s="14"/>
      <c r="H19" s="14">
        <v>150</v>
      </c>
      <c r="I19" s="14"/>
      <c r="J19" s="14"/>
      <c r="K19" s="14"/>
      <c r="L19" s="14"/>
      <c r="M19" s="14"/>
      <c r="N19" s="14"/>
      <c r="O19" s="14"/>
      <c r="P19" s="241"/>
      <c r="Q19" s="14">
        <v>100</v>
      </c>
      <c r="R19" s="14"/>
      <c r="S19" s="14"/>
      <c r="T19" s="14"/>
      <c r="U19" s="14"/>
      <c r="V19" s="14"/>
      <c r="W19" s="14"/>
      <c r="X19" s="14"/>
      <c r="Y19" s="243"/>
      <c r="Z19" s="243"/>
      <c r="AA19" s="243"/>
      <c r="AB19" s="243"/>
      <c r="AC19" s="243"/>
      <c r="AD19" s="244"/>
      <c r="AE19" s="244"/>
      <c r="AF19" s="14"/>
      <c r="AG19" s="14"/>
      <c r="AH19" s="14"/>
      <c r="AI19" s="14"/>
    </row>
    <row r="20" spans="1:35" s="116" customFormat="1" ht="20.100000000000001" customHeight="1">
      <c r="A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241"/>
      <c r="Q20" s="14"/>
      <c r="R20" s="14"/>
      <c r="S20" s="14"/>
      <c r="T20" s="14"/>
      <c r="U20" s="14"/>
      <c r="V20" s="14"/>
      <c r="W20" s="14"/>
      <c r="X20" s="14"/>
      <c r="Y20" s="243"/>
      <c r="Z20" s="243"/>
      <c r="AA20" s="243"/>
      <c r="AB20" s="243"/>
      <c r="AC20" s="243"/>
      <c r="AD20" s="244"/>
      <c r="AE20" s="244"/>
      <c r="AF20" s="14"/>
      <c r="AG20" s="14"/>
      <c r="AH20" s="14"/>
      <c r="AI20" s="14"/>
    </row>
    <row r="21" spans="1:35" s="116" customFormat="1" ht="20.100000000000001" customHeight="1">
      <c r="A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41"/>
      <c r="Q21" s="14"/>
      <c r="R21" s="14"/>
      <c r="S21" s="14"/>
      <c r="T21" s="14"/>
      <c r="U21" s="14"/>
      <c r="V21" s="14"/>
      <c r="W21" s="14"/>
      <c r="X21" s="14"/>
      <c r="Y21" s="243"/>
      <c r="Z21" s="243"/>
      <c r="AA21" s="243"/>
      <c r="AB21" s="243"/>
      <c r="AC21" s="243"/>
      <c r="AD21" s="244"/>
      <c r="AE21" s="244"/>
      <c r="AF21" s="14"/>
      <c r="AG21" s="14"/>
      <c r="AH21" s="14"/>
      <c r="AI21" s="14"/>
    </row>
    <row r="22" spans="1:35" s="116" customFormat="1" ht="20.100000000000001" customHeight="1">
      <c r="A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241"/>
      <c r="Q22" s="14"/>
      <c r="R22" s="14"/>
      <c r="S22" s="14"/>
      <c r="T22" s="14"/>
      <c r="U22" s="14"/>
      <c r="V22" s="14"/>
      <c r="W22" s="14"/>
      <c r="X22" s="14"/>
      <c r="Y22" s="243"/>
      <c r="Z22" s="243"/>
      <c r="AA22" s="243"/>
      <c r="AB22" s="243"/>
      <c r="AC22" s="243"/>
      <c r="AD22" s="244"/>
      <c r="AE22" s="244"/>
      <c r="AF22" s="14"/>
      <c r="AG22" s="14"/>
      <c r="AH22" s="14"/>
      <c r="AI22" s="14"/>
    </row>
    <row r="23" spans="1:35" s="116" customFormat="1" ht="19.5" customHeight="1">
      <c r="A23" s="14"/>
      <c r="C23">
        <v>1839268518</v>
      </c>
      <c r="D23" t="s">
        <v>391</v>
      </c>
      <c r="E23" s="14" t="s">
        <v>392</v>
      </c>
      <c r="F23" s="14"/>
      <c r="G23" s="14"/>
      <c r="H23" s="14"/>
      <c r="I23" s="14"/>
      <c r="J23" s="14"/>
      <c r="K23" s="14"/>
      <c r="L23" s="14"/>
      <c r="M23"/>
      <c r="N23" s="14"/>
      <c r="O23" s="14"/>
      <c r="P23" s="241"/>
      <c r="Q23" s="14"/>
      <c r="R23" s="14"/>
      <c r="S23" s="14"/>
      <c r="T23" s="14"/>
      <c r="U23" s="14"/>
      <c r="V23" s="14"/>
      <c r="W23" s="14"/>
      <c r="X23" s="14"/>
      <c r="Y23" s="243"/>
      <c r="Z23" s="243"/>
      <c r="AA23" s="243"/>
      <c r="AB23" s="243"/>
      <c r="AC23" s="243"/>
      <c r="AD23" s="244"/>
      <c r="AE23" s="244"/>
      <c r="AF23" s="14"/>
      <c r="AG23" s="14"/>
      <c r="AH23" s="14"/>
      <c r="AI23" s="14"/>
    </row>
    <row r="24" spans="1:35" s="116" customFormat="1" ht="20.100000000000001" customHeight="1">
      <c r="A24" s="14"/>
      <c r="C24">
        <v>1509576334</v>
      </c>
      <c r="D24" t="s">
        <v>575</v>
      </c>
      <c r="E24" s="14" t="s">
        <v>531</v>
      </c>
      <c r="F24" s="14"/>
      <c r="G24" s="14"/>
      <c r="H24" s="14"/>
      <c r="I24" s="14"/>
      <c r="J24" s="14"/>
      <c r="K24" s="14"/>
      <c r="L24" s="14"/>
      <c r="M24"/>
      <c r="N24" s="14"/>
      <c r="O24" s="14"/>
      <c r="P24" s="241"/>
      <c r="Q24" s="14"/>
      <c r="R24" s="14"/>
      <c r="S24" s="14"/>
      <c r="T24" s="14"/>
      <c r="U24" s="14"/>
      <c r="V24" s="14"/>
      <c r="W24" s="14"/>
      <c r="X24" s="14"/>
      <c r="Y24" s="243"/>
      <c r="Z24" s="243"/>
      <c r="AA24" s="243"/>
      <c r="AB24" s="243"/>
      <c r="AC24" s="243"/>
      <c r="AD24" s="244"/>
      <c r="AE24" s="244"/>
      <c r="AF24" s="14"/>
      <c r="AG24" s="14"/>
      <c r="AH24" s="14"/>
      <c r="AI24" s="14"/>
    </row>
    <row r="25" spans="1:35" s="116" customFormat="1" ht="20.100000000000001" customHeight="1">
      <c r="A25" s="14"/>
      <c r="C25">
        <v>1632138788</v>
      </c>
      <c r="D25" t="s">
        <v>559</v>
      </c>
      <c r="E25" s="14" t="s">
        <v>530</v>
      </c>
      <c r="F25" s="14"/>
      <c r="G25" s="14"/>
      <c r="H25" s="14"/>
      <c r="I25" s="14"/>
      <c r="J25" s="14"/>
      <c r="K25" s="14"/>
      <c r="L25" s="14"/>
      <c r="M25"/>
      <c r="N25" s="14"/>
      <c r="O25" s="14"/>
      <c r="P25" s="241"/>
      <c r="Q25" s="14"/>
      <c r="R25" s="14"/>
      <c r="S25" s="14"/>
      <c r="T25" s="14"/>
      <c r="U25" s="14"/>
      <c r="V25" s="14"/>
      <c r="W25" s="14"/>
      <c r="X25" s="14"/>
      <c r="Y25" s="243"/>
      <c r="Z25" s="243"/>
      <c r="AA25" s="243"/>
      <c r="AB25" s="243"/>
      <c r="AC25" s="243"/>
      <c r="AD25" s="244"/>
      <c r="AE25" s="244"/>
      <c r="AF25" s="14"/>
      <c r="AG25" s="14"/>
      <c r="AH25" s="14"/>
      <c r="AI25" s="14"/>
    </row>
    <row r="26" spans="1:35" s="116" customFormat="1" ht="20.100000000000001" customHeight="1">
      <c r="A26" s="14"/>
      <c r="C26">
        <v>1872013382</v>
      </c>
      <c r="D26" t="s">
        <v>449</v>
      </c>
      <c r="E26" s="14" t="s">
        <v>547</v>
      </c>
      <c r="F26" s="14"/>
      <c r="G26" s="14"/>
      <c r="H26" s="14"/>
      <c r="I26" s="14"/>
      <c r="J26" s="14"/>
      <c r="K26" s="14"/>
      <c r="L26" s="14"/>
      <c r="M26"/>
      <c r="N26" s="14"/>
      <c r="O26" s="14"/>
      <c r="P26" s="241"/>
      <c r="Q26" s="14"/>
      <c r="R26" s="14"/>
      <c r="S26" s="14"/>
      <c r="T26" s="14"/>
      <c r="U26" s="14"/>
      <c r="V26" s="14"/>
      <c r="W26" s="14"/>
      <c r="X26" s="14"/>
      <c r="Y26" s="243"/>
      <c r="Z26" s="243"/>
      <c r="AA26" s="243"/>
      <c r="AB26" s="243"/>
      <c r="AC26" s="243"/>
      <c r="AD26" s="244"/>
      <c r="AE26" s="244"/>
      <c r="AF26" s="14"/>
      <c r="AG26" s="14"/>
      <c r="AH26" s="14"/>
      <c r="AI26" s="14"/>
    </row>
    <row r="27" spans="1:35" s="116" customFormat="1" ht="20.100000000000001" customHeight="1">
      <c r="A27" s="14"/>
      <c r="C27">
        <v>1287821286</v>
      </c>
      <c r="D27" t="s">
        <v>555</v>
      </c>
      <c r="E27" s="14" t="s">
        <v>265</v>
      </c>
      <c r="F27" s="14"/>
      <c r="G27" s="14"/>
      <c r="H27" s="14"/>
      <c r="I27" s="14"/>
      <c r="J27" s="14"/>
      <c r="K27" s="14"/>
      <c r="L27" s="14"/>
      <c r="M27"/>
      <c r="N27" s="14"/>
      <c r="O27" s="14"/>
      <c r="P27" s="241"/>
      <c r="Q27" s="14"/>
      <c r="R27" s="14"/>
      <c r="S27" s="14"/>
      <c r="T27" s="14"/>
      <c r="U27" s="14"/>
      <c r="V27" s="14"/>
      <c r="W27" s="14"/>
      <c r="X27" s="14"/>
      <c r="Y27" s="243"/>
      <c r="Z27" s="243"/>
      <c r="AA27" s="243"/>
      <c r="AB27" s="243"/>
      <c r="AC27" s="243"/>
      <c r="AD27" s="244"/>
      <c r="AE27" s="244"/>
      <c r="AF27" s="14"/>
      <c r="AG27" s="14"/>
      <c r="AH27" s="14"/>
      <c r="AI27" s="14"/>
    </row>
    <row r="28" spans="1:35" s="116" customFormat="1" ht="20.100000000000001" customHeight="1">
      <c r="A28" s="14"/>
      <c r="C28">
        <v>1201249206</v>
      </c>
      <c r="D28" t="s">
        <v>352</v>
      </c>
      <c r="E28" s="14" t="s">
        <v>394</v>
      </c>
      <c r="F28" s="14"/>
      <c r="G28" s="14"/>
      <c r="H28" s="14"/>
      <c r="I28" s="14"/>
      <c r="J28" s="14"/>
      <c r="K28" s="14"/>
      <c r="L28" s="14"/>
      <c r="M28"/>
      <c r="N28" s="14"/>
      <c r="O28" s="14"/>
      <c r="P28" s="241"/>
      <c r="Q28" s="14"/>
      <c r="R28" s="14"/>
      <c r="S28" s="14"/>
      <c r="T28" s="14"/>
      <c r="U28" s="14"/>
      <c r="V28" s="14"/>
      <c r="W28" s="14"/>
      <c r="X28" s="14"/>
      <c r="Y28" s="243"/>
      <c r="Z28" s="243"/>
      <c r="AA28" s="243"/>
      <c r="AB28" s="243"/>
      <c r="AC28" s="243"/>
      <c r="AD28" s="244"/>
      <c r="AE28" s="244"/>
      <c r="AF28" s="14"/>
      <c r="AG28" s="14"/>
      <c r="AH28" s="14"/>
      <c r="AI28" s="14"/>
    </row>
    <row r="29" spans="1:35" s="116" customFormat="1" ht="20.100000000000001" customHeight="1">
      <c r="A29" s="14"/>
      <c r="C29">
        <v>32507602</v>
      </c>
      <c r="D29" t="s">
        <v>576</v>
      </c>
      <c r="E29" s="14" t="s">
        <v>577</v>
      </c>
      <c r="F29" s="14"/>
      <c r="G29" s="14"/>
      <c r="H29" s="14"/>
      <c r="I29" s="14"/>
      <c r="J29" s="14"/>
      <c r="K29" s="14"/>
      <c r="L29" s="14"/>
      <c r="M29"/>
      <c r="N29" s="14"/>
      <c r="O29" s="14"/>
      <c r="P29" s="241"/>
      <c r="Q29" s="14"/>
      <c r="R29" s="14"/>
      <c r="S29" s="14"/>
      <c r="T29" s="14"/>
      <c r="U29" s="14"/>
      <c r="V29" s="14"/>
      <c r="W29" s="14"/>
      <c r="X29" s="14"/>
      <c r="Y29" s="243"/>
      <c r="Z29" s="243"/>
      <c r="AA29" s="243"/>
      <c r="AB29" s="243"/>
      <c r="AC29" s="243"/>
      <c r="AD29" s="244"/>
      <c r="AE29" s="244"/>
      <c r="AF29" s="14"/>
      <c r="AG29" s="14"/>
      <c r="AH29" s="14"/>
      <c r="AI29" s="14"/>
    </row>
    <row r="30" spans="1:35" s="271" customFormat="1" ht="20.100000000000001" customHeight="1">
      <c r="A30" s="272"/>
      <c r="C30" s="272"/>
      <c r="D30" s="272"/>
      <c r="E30" s="272"/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3"/>
      <c r="Q30" s="272"/>
      <c r="R30" s="272"/>
      <c r="S30" s="272"/>
      <c r="T30" s="272"/>
      <c r="U30" s="272"/>
      <c r="V30" s="272"/>
      <c r="W30" s="272"/>
      <c r="X30" s="272"/>
      <c r="Y30" s="274"/>
      <c r="Z30" s="274"/>
      <c r="AA30" s="274"/>
      <c r="AB30" s="274"/>
      <c r="AC30" s="274"/>
      <c r="AD30" s="272"/>
      <c r="AE30" s="272"/>
      <c r="AF30" s="272"/>
      <c r="AG30" s="272"/>
      <c r="AH30" s="272"/>
      <c r="AI30" s="272"/>
    </row>
    <row r="31" spans="1:35" s="116" customFormat="1" ht="20.100000000000001" customHeight="1">
      <c r="A31" s="14"/>
      <c r="B31" s="284">
        <v>46017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241"/>
      <c r="Q31" s="14"/>
      <c r="R31" s="14"/>
      <c r="S31" s="14"/>
      <c r="T31" s="14"/>
      <c r="U31" s="14"/>
      <c r="V31" s="14"/>
      <c r="W31" s="14"/>
      <c r="X31" s="14"/>
      <c r="Y31" s="243"/>
      <c r="Z31" s="243"/>
      <c r="AA31" s="243"/>
      <c r="AB31" s="243"/>
      <c r="AC31" s="243"/>
      <c r="AD31" s="14"/>
      <c r="AE31" s="14"/>
      <c r="AF31" s="14"/>
      <c r="AG31" s="14"/>
      <c r="AH31" s="14"/>
      <c r="AI31" s="14"/>
    </row>
    <row r="32" spans="1:35" s="116" customFormat="1" ht="20.100000000000001" customHeight="1">
      <c r="A32" s="14"/>
      <c r="B32" s="284"/>
      <c r="C32" s="14">
        <v>1091056146</v>
      </c>
      <c r="D32" s="14" t="s">
        <v>515</v>
      </c>
      <c r="E32" s="14" t="s">
        <v>552</v>
      </c>
      <c r="F32" s="14"/>
      <c r="G32" s="14"/>
      <c r="H32" s="14">
        <v>200</v>
      </c>
      <c r="I32" s="14"/>
      <c r="J32" s="14"/>
      <c r="K32" s="14"/>
      <c r="L32" s="14"/>
      <c r="M32" s="14"/>
      <c r="N32" s="14"/>
      <c r="O32" s="14"/>
      <c r="P32" s="241"/>
      <c r="Q32" s="14">
        <v>100</v>
      </c>
      <c r="R32" s="14"/>
      <c r="S32" s="14"/>
      <c r="T32" s="14"/>
      <c r="U32" s="14"/>
      <c r="V32" s="14"/>
      <c r="W32" s="14"/>
      <c r="X32" s="14"/>
      <c r="Y32" s="243"/>
      <c r="Z32" s="243"/>
      <c r="AA32" s="243"/>
      <c r="AB32" s="243"/>
      <c r="AC32" s="243"/>
      <c r="AD32" s="14"/>
      <c r="AE32" s="14"/>
      <c r="AF32" s="14"/>
      <c r="AG32" s="14"/>
      <c r="AH32" s="14"/>
      <c r="AI32" s="14"/>
    </row>
    <row r="33" spans="1:35" s="116" customFormat="1" ht="20.100000000000001" customHeight="1">
      <c r="A33" s="14"/>
      <c r="C33" s="14">
        <v>36536114</v>
      </c>
      <c r="D33" s="14" t="s">
        <v>517</v>
      </c>
      <c r="E33" s="14" t="s">
        <v>526</v>
      </c>
      <c r="F33" s="14">
        <v>200</v>
      </c>
      <c r="G33" s="14"/>
      <c r="H33" s="14"/>
      <c r="I33" s="14"/>
      <c r="J33" s="14"/>
      <c r="K33" s="14"/>
      <c r="L33" s="14"/>
      <c r="M33" s="14"/>
      <c r="N33" s="14"/>
      <c r="O33" s="14"/>
      <c r="P33" s="241"/>
      <c r="Q33" s="14">
        <v>100</v>
      </c>
      <c r="R33" s="14"/>
      <c r="S33" s="14"/>
      <c r="T33" s="14"/>
      <c r="U33" s="14"/>
      <c r="V33" s="14"/>
      <c r="W33" s="14"/>
      <c r="X33" s="14"/>
      <c r="Y33" s="243"/>
      <c r="Z33" s="243"/>
      <c r="AA33" s="243"/>
      <c r="AB33" s="243"/>
      <c r="AC33" s="243"/>
      <c r="AD33" s="14"/>
      <c r="AE33" s="14"/>
      <c r="AF33" s="14"/>
      <c r="AG33" s="14"/>
      <c r="AH33" s="14"/>
      <c r="AI33" s="14"/>
    </row>
    <row r="34" spans="1:35" s="116" customFormat="1" ht="20.100000000000001" customHeight="1">
      <c r="A34" s="14"/>
      <c r="C34" s="14">
        <v>1029063503</v>
      </c>
      <c r="D34" s="14" t="s">
        <v>516</v>
      </c>
      <c r="E34" s="14" t="s">
        <v>527</v>
      </c>
      <c r="F34" s="14"/>
      <c r="G34" s="14"/>
      <c r="H34" s="14">
        <v>350</v>
      </c>
      <c r="I34" s="286"/>
      <c r="J34" s="14"/>
      <c r="K34" s="14"/>
      <c r="L34" s="14"/>
      <c r="M34" s="14"/>
      <c r="N34" s="14"/>
      <c r="O34" s="14"/>
      <c r="P34" s="241"/>
      <c r="Q34" s="14">
        <v>100</v>
      </c>
      <c r="R34" s="14"/>
      <c r="S34" s="14"/>
      <c r="T34" s="14"/>
      <c r="U34" s="14"/>
      <c r="V34" s="14"/>
      <c r="W34" s="14"/>
      <c r="X34" s="14"/>
      <c r="Y34" s="243"/>
      <c r="Z34" s="243"/>
      <c r="AA34" s="243"/>
      <c r="AB34" s="243"/>
      <c r="AC34" s="243"/>
      <c r="AD34" s="14"/>
      <c r="AE34" s="14"/>
      <c r="AF34" s="14"/>
      <c r="AG34" s="14"/>
      <c r="AH34" s="14"/>
      <c r="AI34" s="14"/>
    </row>
    <row r="35" spans="1:35" s="116" customFormat="1" ht="20.100000000000001" customHeight="1">
      <c r="A35" s="14"/>
      <c r="C35" s="14">
        <v>1814512864</v>
      </c>
      <c r="D35" s="14" t="s">
        <v>514</v>
      </c>
      <c r="E35" s="14" t="s">
        <v>570</v>
      </c>
      <c r="F35" s="14"/>
      <c r="G35" s="14"/>
      <c r="H35" s="14">
        <v>200</v>
      </c>
      <c r="I35" s="14"/>
      <c r="J35" s="14"/>
      <c r="K35" s="14"/>
      <c r="L35" s="14"/>
      <c r="M35" s="14"/>
      <c r="N35" s="14"/>
      <c r="O35" s="14"/>
      <c r="P35" s="241"/>
      <c r="Q35" s="14">
        <v>100</v>
      </c>
      <c r="R35" s="14"/>
      <c r="S35" s="14"/>
      <c r="T35" s="14"/>
      <c r="U35" s="14"/>
      <c r="V35" s="14"/>
      <c r="W35" s="14"/>
      <c r="X35" s="14"/>
      <c r="Y35" s="243"/>
      <c r="Z35" s="243"/>
      <c r="AA35" s="243"/>
      <c r="AB35" s="243"/>
      <c r="AC35" s="243"/>
      <c r="AD35" s="14"/>
      <c r="AE35" s="14"/>
      <c r="AF35" s="14"/>
      <c r="AG35" s="14"/>
      <c r="AH35" s="14"/>
      <c r="AI35" s="14"/>
    </row>
    <row r="36" spans="1:35" s="116" customFormat="1" ht="20.100000000000001" customHeight="1">
      <c r="A36" s="14"/>
      <c r="C36" s="14">
        <v>1864889927</v>
      </c>
      <c r="D36" s="14" t="s">
        <v>513</v>
      </c>
      <c r="E36" s="14" t="s">
        <v>571</v>
      </c>
      <c r="F36" s="14"/>
      <c r="G36" s="14"/>
      <c r="H36" s="14">
        <v>200</v>
      </c>
      <c r="I36" s="14"/>
      <c r="J36" s="14"/>
      <c r="K36" s="14"/>
      <c r="L36" s="14"/>
      <c r="M36" s="14"/>
      <c r="N36" s="14"/>
      <c r="O36" s="14"/>
      <c r="P36" s="241"/>
      <c r="Q36" s="14">
        <v>100</v>
      </c>
      <c r="R36" s="14"/>
      <c r="S36" s="14"/>
      <c r="T36" s="14"/>
      <c r="U36" s="14"/>
      <c r="V36" s="14"/>
      <c r="W36" s="14"/>
      <c r="X36" s="14"/>
      <c r="Y36" s="243"/>
      <c r="Z36" s="243"/>
      <c r="AA36" s="243"/>
      <c r="AB36" s="243"/>
      <c r="AC36" s="243"/>
      <c r="AD36" s="14"/>
      <c r="AE36" s="14"/>
      <c r="AF36" s="14"/>
      <c r="AG36" s="14"/>
      <c r="AH36" s="14"/>
      <c r="AI36" s="14"/>
    </row>
    <row r="37" spans="1:35" s="116" customFormat="1" ht="20.100000000000001" customHeight="1">
      <c r="A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241"/>
      <c r="Q37" s="14"/>
      <c r="R37" s="14"/>
      <c r="S37" s="14"/>
      <c r="T37" s="14"/>
      <c r="U37" s="14"/>
      <c r="V37" s="14"/>
      <c r="W37" s="14"/>
      <c r="X37" s="14"/>
      <c r="Y37" s="243"/>
      <c r="Z37" s="243"/>
      <c r="AA37" s="243"/>
      <c r="AB37" s="243"/>
      <c r="AC37" s="243"/>
      <c r="AD37" s="14"/>
      <c r="AE37" s="14"/>
      <c r="AF37" s="14"/>
      <c r="AG37" s="14"/>
      <c r="AH37" s="14"/>
      <c r="AI37" s="14"/>
    </row>
    <row r="38" spans="1:35" s="116" customFormat="1" ht="20.100000000000001" customHeight="1">
      <c r="A38" s="14"/>
      <c r="C38" s="14">
        <v>1848049619</v>
      </c>
      <c r="D38" s="14" t="s">
        <v>582</v>
      </c>
      <c r="E38" s="14" t="s">
        <v>583</v>
      </c>
      <c r="F38" s="14"/>
      <c r="G38" s="14"/>
      <c r="H38" s="14">
        <v>200</v>
      </c>
      <c r="I38" s="14"/>
      <c r="J38" s="14"/>
      <c r="K38" s="14"/>
      <c r="L38" s="14"/>
      <c r="M38" s="14"/>
      <c r="N38" s="14"/>
      <c r="O38" s="14"/>
      <c r="P38" s="241"/>
      <c r="Q38" s="14">
        <v>100</v>
      </c>
      <c r="R38" s="14"/>
      <c r="S38" s="14"/>
      <c r="T38" s="14"/>
      <c r="U38" s="14"/>
      <c r="V38" s="14"/>
      <c r="W38" s="14"/>
      <c r="X38" s="14"/>
      <c r="Y38" s="243"/>
      <c r="Z38" s="243"/>
      <c r="AA38" s="243"/>
      <c r="AB38" s="243"/>
      <c r="AC38" s="243"/>
      <c r="AD38" s="14"/>
      <c r="AE38" s="14"/>
      <c r="AF38" s="14"/>
      <c r="AG38" s="14"/>
      <c r="AH38" s="14"/>
      <c r="AI38" s="14"/>
    </row>
    <row r="39" spans="1:35" s="116" customFormat="1" ht="20.100000000000001" customHeight="1">
      <c r="A39" s="14"/>
      <c r="C39" s="14">
        <v>1165597556</v>
      </c>
      <c r="D39" s="14" t="s">
        <v>597</v>
      </c>
      <c r="E39" s="14" t="s">
        <v>520</v>
      </c>
      <c r="F39" s="14"/>
      <c r="G39" s="14"/>
      <c r="H39" s="14">
        <v>300</v>
      </c>
      <c r="I39" s="14"/>
      <c r="J39" s="14"/>
      <c r="K39" s="14"/>
      <c r="L39" s="14"/>
      <c r="M39" s="14"/>
      <c r="N39" s="14"/>
      <c r="O39" s="14"/>
      <c r="P39" s="241"/>
      <c r="Q39" s="14">
        <v>100</v>
      </c>
      <c r="R39" s="14"/>
      <c r="S39" s="14"/>
      <c r="T39" s="14"/>
      <c r="U39" s="14"/>
      <c r="V39" s="14"/>
      <c r="W39" s="14"/>
      <c r="X39" s="14"/>
      <c r="Y39" s="243"/>
      <c r="Z39" s="243"/>
      <c r="AA39" s="243"/>
      <c r="AB39" s="243"/>
      <c r="AC39" s="243"/>
      <c r="AD39" s="14"/>
      <c r="AE39" s="14"/>
      <c r="AF39" s="14"/>
      <c r="AG39" s="14"/>
      <c r="AH39" s="14"/>
      <c r="AI39" s="14"/>
    </row>
    <row r="40" spans="1:35" s="116" customFormat="1" ht="20.100000000000001" customHeight="1">
      <c r="A40" s="14"/>
      <c r="C40" s="14">
        <v>267802526</v>
      </c>
      <c r="D40" s="14" t="s">
        <v>590</v>
      </c>
      <c r="E40" s="14" t="s">
        <v>521</v>
      </c>
      <c r="F40" s="14"/>
      <c r="G40" s="14"/>
      <c r="H40" s="14">
        <v>400</v>
      </c>
      <c r="I40" s="14"/>
      <c r="J40" s="14"/>
      <c r="K40" s="14"/>
      <c r="L40" s="14"/>
      <c r="M40" s="14"/>
      <c r="N40" s="14"/>
      <c r="O40" s="14"/>
      <c r="P40" s="241"/>
      <c r="Q40" s="14">
        <v>200</v>
      </c>
      <c r="R40" s="14"/>
      <c r="S40" s="14"/>
      <c r="T40" s="14"/>
      <c r="U40" s="14"/>
      <c r="V40" s="14"/>
      <c r="W40" s="14"/>
      <c r="X40" s="14"/>
      <c r="Y40" s="243"/>
      <c r="Z40" s="243"/>
      <c r="AA40" s="243"/>
      <c r="AB40" s="243"/>
      <c r="AC40" s="243"/>
      <c r="AD40" s="14"/>
      <c r="AE40" s="14"/>
      <c r="AF40" s="14"/>
      <c r="AG40" s="14"/>
      <c r="AH40" s="14"/>
      <c r="AI40" s="14"/>
    </row>
    <row r="41" spans="1:35" s="116" customFormat="1" ht="20.100000000000001" customHeight="1">
      <c r="A41" s="14"/>
      <c r="C41" s="14">
        <v>1108685948</v>
      </c>
      <c r="D41" s="14" t="s">
        <v>323</v>
      </c>
      <c r="E41" s="14" t="s">
        <v>416</v>
      </c>
      <c r="F41" s="14">
        <v>200</v>
      </c>
      <c r="G41" s="14"/>
      <c r="H41" s="14"/>
      <c r="I41" s="14"/>
      <c r="J41" s="14"/>
      <c r="K41" s="14"/>
      <c r="L41" s="14"/>
      <c r="M41" s="14"/>
      <c r="N41" s="14"/>
      <c r="O41" s="14"/>
      <c r="P41" s="241"/>
      <c r="Q41" s="14">
        <v>100</v>
      </c>
      <c r="R41" s="14"/>
      <c r="S41" s="14"/>
      <c r="T41" s="14"/>
      <c r="U41" s="14"/>
      <c r="V41" s="14"/>
      <c r="W41" s="14">
        <v>5</v>
      </c>
      <c r="X41" s="14"/>
      <c r="Y41" s="243"/>
      <c r="Z41" s="243"/>
      <c r="AA41" s="243"/>
      <c r="AB41" s="243"/>
      <c r="AC41" s="243"/>
      <c r="AD41" s="14"/>
      <c r="AE41" s="14"/>
      <c r="AF41" s="14"/>
      <c r="AG41" s="14"/>
      <c r="AH41" s="14"/>
      <c r="AI41" s="14"/>
    </row>
    <row r="42" spans="1:35" s="116" customFormat="1" ht="20.100000000000001" customHeight="1">
      <c r="A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241"/>
      <c r="Q42" s="14">
        <v>100</v>
      </c>
      <c r="R42" s="14"/>
      <c r="S42" s="14"/>
      <c r="T42" s="14"/>
      <c r="U42" s="14"/>
      <c r="V42" s="14"/>
      <c r="W42" s="14"/>
      <c r="X42" s="14"/>
      <c r="Y42" s="243"/>
      <c r="Z42" s="243"/>
      <c r="AA42" s="243"/>
      <c r="AB42" s="243"/>
      <c r="AC42" s="243"/>
      <c r="AD42" s="244"/>
      <c r="AE42" s="244"/>
      <c r="AF42" s="14"/>
      <c r="AG42" s="14"/>
      <c r="AH42" s="14"/>
      <c r="AI42" s="14"/>
    </row>
    <row r="43" spans="1:35" s="116" customFormat="1" ht="20.100000000000001" customHeight="1">
      <c r="A43" s="14"/>
      <c r="C43" s="14">
        <v>1770334939</v>
      </c>
      <c r="D43" s="14" t="s">
        <v>592</v>
      </c>
      <c r="E43" s="14" t="s">
        <v>591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241"/>
      <c r="Q43" s="14">
        <v>100</v>
      </c>
      <c r="R43" s="14"/>
      <c r="S43" s="14"/>
      <c r="T43" s="14"/>
      <c r="U43" s="14"/>
      <c r="V43" s="14"/>
      <c r="W43" s="14"/>
      <c r="X43" s="14"/>
      <c r="Y43" s="243"/>
      <c r="Z43" s="243"/>
      <c r="AA43" s="243"/>
      <c r="AB43" s="243"/>
      <c r="AC43" s="243"/>
      <c r="AD43" s="244"/>
      <c r="AE43" s="244"/>
      <c r="AF43" s="14"/>
      <c r="AG43" s="14"/>
      <c r="AH43" s="14"/>
      <c r="AI43" s="14"/>
    </row>
    <row r="44" spans="1:35" s="116" customFormat="1" ht="20.100000000000001" customHeight="1">
      <c r="A44" s="14"/>
      <c r="C44" s="14">
        <v>2038302317</v>
      </c>
      <c r="D44" s="14" t="s">
        <v>594</v>
      </c>
      <c r="E44" s="14" t="s">
        <v>593</v>
      </c>
      <c r="F44" s="14"/>
      <c r="G44" s="14"/>
      <c r="H44" s="14">
        <v>300</v>
      </c>
      <c r="I44" s="14"/>
      <c r="J44" s="14"/>
      <c r="K44" s="14"/>
      <c r="L44" s="14"/>
      <c r="M44" s="14"/>
      <c r="N44" s="14"/>
      <c r="O44" s="14"/>
      <c r="P44" s="241"/>
      <c r="Q44" s="14">
        <v>100</v>
      </c>
      <c r="R44" s="14"/>
      <c r="S44" s="14"/>
      <c r="T44" s="14"/>
      <c r="U44" s="14"/>
      <c r="V44" s="14"/>
      <c r="W44" s="14"/>
      <c r="X44" s="14"/>
      <c r="Y44" s="243"/>
      <c r="Z44" s="243"/>
      <c r="AA44" s="243"/>
      <c r="AB44" s="243"/>
      <c r="AC44" s="243"/>
      <c r="AD44" s="244"/>
      <c r="AE44" s="244"/>
      <c r="AF44" s="14"/>
      <c r="AG44" s="14"/>
      <c r="AH44" s="14"/>
      <c r="AI44" s="14"/>
    </row>
    <row r="45" spans="1:35" s="116" customFormat="1" ht="20.100000000000001" customHeight="1">
      <c r="A45" s="14"/>
      <c r="C45" s="14">
        <v>1249534579</v>
      </c>
      <c r="D45" s="14" t="s">
        <v>595</v>
      </c>
      <c r="E45" s="14" t="s">
        <v>596</v>
      </c>
      <c r="F45" s="14"/>
      <c r="G45" s="14"/>
      <c r="H45" s="14">
        <v>200</v>
      </c>
      <c r="I45" s="14"/>
      <c r="J45" s="14"/>
      <c r="K45" s="14"/>
      <c r="L45" s="14"/>
      <c r="M45" s="14"/>
      <c r="N45" s="14"/>
      <c r="O45" s="14"/>
      <c r="P45" s="241"/>
      <c r="Q45" s="14">
        <v>100</v>
      </c>
      <c r="R45" s="14"/>
      <c r="S45" s="14"/>
      <c r="T45" s="14"/>
      <c r="U45" s="14"/>
      <c r="V45" s="14"/>
      <c r="W45" s="14"/>
      <c r="X45" s="14"/>
      <c r="Y45" s="243"/>
      <c r="Z45" s="243"/>
      <c r="AA45" s="243"/>
      <c r="AB45" s="243"/>
      <c r="AC45" s="243"/>
      <c r="AD45" s="244"/>
      <c r="AE45" s="244"/>
      <c r="AF45" s="14"/>
      <c r="AG45" s="14"/>
      <c r="AH45" s="14"/>
      <c r="AI45" s="14"/>
    </row>
    <row r="46" spans="1:35" s="116" customFormat="1" ht="20.100000000000001" customHeight="1">
      <c r="A46" s="14"/>
      <c r="C46" s="14"/>
      <c r="D46" s="14" t="s">
        <v>598</v>
      </c>
      <c r="E46" s="14"/>
      <c r="F46" s="14">
        <v>300</v>
      </c>
      <c r="G46" s="14"/>
      <c r="H46" s="14"/>
      <c r="I46" s="14"/>
      <c r="J46" s="14"/>
      <c r="K46" s="14"/>
      <c r="L46" s="14"/>
      <c r="M46" s="14"/>
      <c r="N46" s="14"/>
      <c r="O46" s="14"/>
      <c r="P46" s="241"/>
      <c r="Q46" s="14"/>
      <c r="R46" s="14"/>
      <c r="S46" s="14"/>
      <c r="T46" s="14"/>
      <c r="U46" s="14"/>
      <c r="V46" s="14"/>
      <c r="W46" s="14"/>
      <c r="X46" s="14">
        <v>5</v>
      </c>
      <c r="Y46" s="243"/>
      <c r="Z46" s="243"/>
      <c r="AA46" s="243"/>
      <c r="AB46" s="243"/>
      <c r="AC46" s="243"/>
      <c r="AD46" s="244"/>
      <c r="AE46" s="244"/>
      <c r="AF46" s="14"/>
      <c r="AG46" s="14"/>
      <c r="AH46" s="14"/>
      <c r="AI46" s="14"/>
    </row>
    <row r="47" spans="1:35" s="116" customFormat="1" ht="20.100000000000001" customHeight="1">
      <c r="A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241"/>
      <c r="Q47" s="14"/>
      <c r="R47" s="14"/>
      <c r="S47" s="14"/>
      <c r="T47" s="14"/>
      <c r="U47" s="14"/>
      <c r="V47" s="14"/>
      <c r="W47" s="14"/>
      <c r="X47" s="14"/>
      <c r="Y47" s="243"/>
      <c r="Z47" s="243"/>
      <c r="AA47" s="243"/>
      <c r="AB47" s="243"/>
      <c r="AC47" s="243"/>
      <c r="AD47" s="14"/>
      <c r="AE47" s="14"/>
      <c r="AF47" s="14"/>
      <c r="AG47" s="14"/>
      <c r="AH47" s="14"/>
      <c r="AI47" s="14"/>
    </row>
    <row r="48" spans="1:35" s="116" customFormat="1" ht="20.100000000000001" customHeight="1">
      <c r="A48" s="14"/>
      <c r="C48" s="14">
        <v>1642603227</v>
      </c>
      <c r="D48" s="14" t="s">
        <v>211</v>
      </c>
      <c r="E48" s="14" t="s">
        <v>532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241"/>
      <c r="Q48" s="14"/>
      <c r="R48" s="14"/>
      <c r="S48" s="14"/>
      <c r="T48" s="14"/>
      <c r="U48" s="14"/>
      <c r="V48" s="14"/>
      <c r="W48" s="14"/>
      <c r="X48" s="14"/>
      <c r="Y48" s="243"/>
      <c r="Z48" s="243"/>
      <c r="AA48" s="243"/>
      <c r="AB48" s="243"/>
      <c r="AC48" s="243"/>
      <c r="AD48" s="14"/>
      <c r="AE48" s="14"/>
      <c r="AF48" s="14"/>
      <c r="AG48" s="14"/>
      <c r="AH48" s="14"/>
      <c r="AI48" s="14"/>
    </row>
    <row r="49" spans="1:35" s="116" customFormat="1" ht="20.100000000000001" customHeight="1">
      <c r="A49" s="14"/>
      <c r="C49" s="14">
        <v>1022013892</v>
      </c>
      <c r="D49" s="14" t="s">
        <v>554</v>
      </c>
      <c r="E49" s="14" t="s">
        <v>381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241"/>
      <c r="Q49" s="14"/>
      <c r="R49" s="14"/>
      <c r="S49" s="14"/>
      <c r="T49" s="14"/>
      <c r="U49" s="14"/>
      <c r="V49" s="14"/>
      <c r="W49" s="14"/>
      <c r="X49" s="14"/>
      <c r="Y49" s="243"/>
      <c r="Z49" s="243"/>
      <c r="AA49" s="243"/>
      <c r="AB49" s="243"/>
      <c r="AC49" s="243"/>
      <c r="AD49" s="14"/>
      <c r="AE49" s="14"/>
      <c r="AF49" s="14"/>
      <c r="AG49" s="14"/>
      <c r="AH49" s="14"/>
      <c r="AI49" s="14"/>
    </row>
    <row r="50" spans="1:35" s="116" customFormat="1" ht="20.100000000000001" customHeight="1">
      <c r="A50" s="14"/>
      <c r="C50" s="14">
        <v>1287821286</v>
      </c>
      <c r="D50" s="14" t="s">
        <v>555</v>
      </c>
      <c r="E50" s="14" t="s">
        <v>265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241"/>
      <c r="Q50" s="14"/>
      <c r="R50" s="14"/>
      <c r="S50" s="14"/>
      <c r="T50" s="14"/>
      <c r="U50" s="14"/>
      <c r="V50" s="14"/>
      <c r="W50" s="14"/>
      <c r="X50" s="14"/>
      <c r="Y50" s="243"/>
      <c r="Z50" s="243"/>
      <c r="AA50" s="243"/>
      <c r="AB50" s="243"/>
      <c r="AC50" s="243"/>
      <c r="AD50" s="14"/>
      <c r="AE50" s="14"/>
      <c r="AF50" s="14"/>
      <c r="AG50" s="14"/>
      <c r="AH50" s="14"/>
      <c r="AI50" s="14"/>
    </row>
    <row r="51" spans="1:35" s="116" customFormat="1" ht="20.100000000000001" customHeight="1">
      <c r="A51" s="14"/>
      <c r="C51" s="14">
        <v>1421207239</v>
      </c>
      <c r="D51" s="14" t="s">
        <v>556</v>
      </c>
      <c r="E51" s="14" t="s">
        <v>385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241"/>
      <c r="Q51" s="14"/>
      <c r="R51" s="14"/>
      <c r="S51" s="14"/>
      <c r="T51" s="14"/>
      <c r="U51" s="14"/>
      <c r="V51" s="14"/>
      <c r="W51" s="14"/>
      <c r="X51" s="14"/>
      <c r="Y51" s="243"/>
      <c r="Z51" s="243"/>
      <c r="AA51" s="243"/>
      <c r="AB51" s="243"/>
      <c r="AC51" s="243"/>
      <c r="AD51" s="14"/>
      <c r="AE51" s="14"/>
      <c r="AF51" s="14"/>
      <c r="AG51" s="14"/>
      <c r="AH51" s="14"/>
      <c r="AI51" s="14"/>
    </row>
    <row r="52" spans="1:35" s="116" customFormat="1" ht="20.100000000000001" customHeight="1">
      <c r="A52" s="14"/>
      <c r="C52" s="14">
        <v>1683089915</v>
      </c>
      <c r="D52" s="14" t="s">
        <v>557</v>
      </c>
      <c r="E52" s="14" t="s">
        <v>387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241"/>
      <c r="Q52" s="14"/>
      <c r="R52" s="14"/>
      <c r="S52" s="14"/>
      <c r="T52" s="14"/>
      <c r="U52" s="14"/>
      <c r="V52" s="14"/>
      <c r="W52" s="14"/>
      <c r="X52" s="14"/>
      <c r="Y52" s="243"/>
      <c r="Z52" s="243"/>
      <c r="AA52" s="243"/>
      <c r="AB52" s="243"/>
      <c r="AC52" s="243"/>
      <c r="AD52" s="14"/>
      <c r="AE52" s="14"/>
      <c r="AF52" s="14"/>
      <c r="AG52" s="14"/>
      <c r="AH52" s="14"/>
      <c r="AI52" s="14"/>
    </row>
    <row r="53" spans="1:35" s="116" customFormat="1" ht="20.100000000000001" customHeight="1">
      <c r="A53" s="14"/>
      <c r="C53" s="14">
        <v>2035334597</v>
      </c>
      <c r="D53" s="14" t="s">
        <v>205</v>
      </c>
      <c r="E53" s="14" t="s">
        <v>390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241"/>
      <c r="Q53" s="14"/>
      <c r="R53" s="14"/>
      <c r="S53" s="14"/>
      <c r="T53" s="14"/>
      <c r="U53" s="14"/>
      <c r="V53" s="14"/>
      <c r="W53" s="14"/>
      <c r="X53" s="14"/>
      <c r="Y53" s="243"/>
      <c r="Z53" s="243"/>
      <c r="AA53" s="243"/>
      <c r="AB53" s="243"/>
      <c r="AC53" s="243"/>
      <c r="AD53" s="14"/>
      <c r="AE53" s="14"/>
      <c r="AF53" s="14"/>
      <c r="AG53" s="14"/>
      <c r="AH53" s="14"/>
      <c r="AI53" s="14"/>
    </row>
    <row r="54" spans="1:35" s="116" customFormat="1" ht="20.100000000000001" customHeight="1">
      <c r="A54" s="14"/>
      <c r="C54" s="14">
        <v>1839268518</v>
      </c>
      <c r="D54" s="14" t="s">
        <v>558</v>
      </c>
      <c r="E54" s="14" t="s">
        <v>392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241"/>
      <c r="Q54" s="14"/>
      <c r="R54" s="14"/>
      <c r="S54" s="14"/>
      <c r="T54" s="14"/>
      <c r="U54" s="14"/>
      <c r="V54" s="14"/>
      <c r="W54" s="14"/>
      <c r="X54" s="14"/>
      <c r="Y54" s="243"/>
      <c r="Z54" s="243"/>
      <c r="AA54" s="243"/>
      <c r="AB54" s="243"/>
      <c r="AC54" s="243"/>
      <c r="AD54" s="14"/>
      <c r="AE54" s="14"/>
      <c r="AF54" s="14"/>
      <c r="AG54" s="14"/>
      <c r="AH54" s="14"/>
      <c r="AI54" s="14"/>
    </row>
    <row r="55" spans="1:35" s="116" customFormat="1" ht="20.100000000000001" customHeight="1">
      <c r="A55" s="14"/>
      <c r="C55" s="14">
        <v>1872013382</v>
      </c>
      <c r="D55" s="14" t="s">
        <v>449</v>
      </c>
      <c r="E55" s="14" t="s">
        <v>547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241"/>
      <c r="Q55" s="14"/>
      <c r="R55" s="14"/>
      <c r="S55" s="14"/>
      <c r="T55" s="14"/>
      <c r="U55" s="14"/>
      <c r="V55" s="14"/>
      <c r="W55" s="14"/>
      <c r="X55" s="14"/>
      <c r="Y55" s="243"/>
      <c r="Z55" s="243"/>
      <c r="AA55" s="243"/>
      <c r="AB55" s="243"/>
      <c r="AC55" s="243"/>
      <c r="AD55" s="14"/>
      <c r="AE55" s="14"/>
      <c r="AF55" s="14"/>
      <c r="AG55" s="14"/>
      <c r="AH55" s="14"/>
      <c r="AI55" s="14"/>
    </row>
    <row r="56" spans="1:35" s="116" customFormat="1" ht="20.100000000000001" customHeight="1">
      <c r="A56" s="14"/>
      <c r="C56" s="14">
        <v>1632138788</v>
      </c>
      <c r="D56" s="14" t="s">
        <v>559</v>
      </c>
      <c r="E56" s="14" t="s">
        <v>530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241"/>
      <c r="Q56" s="14"/>
      <c r="R56" s="14"/>
      <c r="S56" s="14"/>
      <c r="T56" s="14"/>
      <c r="U56" s="14"/>
      <c r="V56" s="14"/>
      <c r="W56" s="14"/>
      <c r="X56" s="14"/>
      <c r="Y56" s="243"/>
      <c r="Z56" s="243"/>
      <c r="AA56" s="243"/>
      <c r="AB56" s="243"/>
      <c r="AC56" s="243"/>
      <c r="AD56" s="14"/>
      <c r="AE56" s="14"/>
      <c r="AF56" s="14"/>
      <c r="AG56" s="14"/>
      <c r="AH56" s="14"/>
      <c r="AI56" s="14"/>
    </row>
    <row r="57" spans="1:35" s="116" customFormat="1" ht="20.100000000000001" customHeight="1">
      <c r="A57" s="14"/>
      <c r="C57" s="14">
        <v>1509576334</v>
      </c>
      <c r="D57" s="14" t="s">
        <v>560</v>
      </c>
      <c r="E57" s="14" t="s">
        <v>531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241"/>
      <c r="Q57" s="14"/>
      <c r="R57" s="14"/>
      <c r="S57" s="14"/>
      <c r="T57" s="14"/>
      <c r="U57" s="14"/>
      <c r="V57" s="14"/>
      <c r="W57" s="14"/>
      <c r="X57" s="14"/>
      <c r="Y57" s="243"/>
      <c r="Z57" s="243"/>
      <c r="AA57" s="243"/>
      <c r="AB57" s="243"/>
      <c r="AC57" s="243"/>
      <c r="AD57" s="14"/>
      <c r="AE57" s="14"/>
      <c r="AF57" s="14"/>
      <c r="AG57" s="14"/>
      <c r="AH57" s="14"/>
      <c r="AI57" s="14"/>
    </row>
    <row r="58" spans="1:35" s="116" customFormat="1" ht="20.100000000000001" customHeight="1">
      <c r="A58" s="14"/>
      <c r="C58" s="14">
        <v>1201249206</v>
      </c>
      <c r="D58" s="14" t="s">
        <v>352</v>
      </c>
      <c r="E58" s="14" t="s">
        <v>394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241"/>
      <c r="Q58" s="14"/>
      <c r="R58" s="14"/>
      <c r="S58" s="14"/>
      <c r="T58" s="14"/>
      <c r="U58" s="14"/>
      <c r="V58" s="14"/>
      <c r="W58" s="14"/>
      <c r="X58" s="14"/>
      <c r="Y58" s="243"/>
      <c r="Z58" s="243"/>
      <c r="AA58" s="243"/>
      <c r="AB58" s="243"/>
      <c r="AC58" s="243"/>
      <c r="AD58" s="14"/>
      <c r="AE58" s="14"/>
      <c r="AF58" s="14"/>
      <c r="AG58" s="14"/>
      <c r="AH58" s="14"/>
      <c r="AI58" s="14"/>
    </row>
    <row r="59" spans="1:35" s="116" customFormat="1" ht="20.100000000000001" customHeight="1">
      <c r="A59" s="14"/>
      <c r="C59" s="14">
        <v>1898707389</v>
      </c>
      <c r="D59" s="14" t="s">
        <v>509</v>
      </c>
      <c r="E59" s="14" t="s">
        <v>548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241"/>
      <c r="Q59" s="14"/>
      <c r="R59" s="14"/>
      <c r="S59" s="14"/>
      <c r="T59" s="14"/>
      <c r="U59" s="14"/>
      <c r="V59" s="14"/>
      <c r="W59" s="14"/>
      <c r="X59" s="14"/>
      <c r="Y59" s="243"/>
      <c r="Z59" s="243"/>
      <c r="AA59" s="243"/>
      <c r="AB59" s="243"/>
      <c r="AC59" s="243"/>
      <c r="AD59" s="14"/>
      <c r="AE59" s="14"/>
      <c r="AF59" s="14"/>
      <c r="AG59" s="14"/>
      <c r="AH59" s="14"/>
      <c r="AI59" s="14"/>
    </row>
    <row r="60" spans="1:35" s="116" customFormat="1" ht="20.100000000000001" customHeight="1">
      <c r="A60" s="14"/>
      <c r="C60" s="14">
        <v>2056858156</v>
      </c>
      <c r="D60" s="14" t="s">
        <v>512</v>
      </c>
      <c r="E60" s="14" t="s">
        <v>549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241"/>
      <c r="Q60" s="14"/>
      <c r="R60" s="14"/>
      <c r="S60" s="14"/>
      <c r="T60" s="14"/>
      <c r="U60" s="14"/>
      <c r="V60" s="14"/>
      <c r="W60" s="14"/>
      <c r="X60" s="14"/>
      <c r="Y60" s="243"/>
      <c r="Z60" s="243"/>
      <c r="AA60" s="243"/>
      <c r="AB60" s="243"/>
      <c r="AC60" s="243"/>
      <c r="AD60" s="14"/>
      <c r="AE60" s="14"/>
      <c r="AF60" s="14"/>
      <c r="AG60" s="14"/>
      <c r="AH60" s="14"/>
      <c r="AI60" s="14"/>
    </row>
    <row r="61" spans="1:35" s="116" customFormat="1" ht="20.100000000000001" customHeight="1">
      <c r="A61" s="14"/>
      <c r="C61" s="14">
        <v>1258228694</v>
      </c>
      <c r="D61" s="14" t="s">
        <v>203</v>
      </c>
      <c r="E61" s="14" t="s">
        <v>262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241"/>
      <c r="Q61" s="14"/>
      <c r="R61" s="14"/>
      <c r="S61" s="14"/>
      <c r="T61" s="14"/>
      <c r="U61" s="14"/>
      <c r="V61" s="14"/>
      <c r="W61" s="14"/>
      <c r="X61" s="14"/>
      <c r="Y61" s="243"/>
      <c r="Z61" s="243"/>
      <c r="AA61" s="243"/>
      <c r="AB61" s="243"/>
      <c r="AC61" s="243"/>
      <c r="AD61" s="14"/>
      <c r="AE61" s="14"/>
      <c r="AF61" s="14"/>
      <c r="AG61" s="14"/>
      <c r="AH61" s="14"/>
      <c r="AI61" s="14"/>
    </row>
    <row r="62" spans="1:35" s="116" customFormat="1" ht="20.100000000000001" customHeight="1">
      <c r="A62" s="14"/>
      <c r="C62" s="14">
        <v>1016917438</v>
      </c>
      <c r="D62" s="14" t="s">
        <v>561</v>
      </c>
      <c r="E62" s="14" t="s">
        <v>382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241"/>
      <c r="Q62" s="14"/>
      <c r="R62" s="14"/>
      <c r="S62" s="14"/>
      <c r="T62" s="14"/>
      <c r="U62" s="14"/>
      <c r="V62" s="14"/>
      <c r="W62" s="14"/>
      <c r="X62" s="14"/>
      <c r="Y62" s="243"/>
      <c r="Z62" s="243"/>
      <c r="AA62" s="243"/>
      <c r="AB62" s="243"/>
      <c r="AC62" s="243"/>
      <c r="AD62" s="14"/>
      <c r="AE62" s="14"/>
      <c r="AF62" s="14"/>
      <c r="AG62" s="14"/>
      <c r="AH62" s="14"/>
      <c r="AI62" s="14"/>
    </row>
    <row r="63" spans="1:35" s="116" customFormat="1" ht="20.100000000000001" customHeight="1">
      <c r="A63" s="14"/>
      <c r="C63" s="14">
        <v>1881917537</v>
      </c>
      <c r="D63" s="14" t="s">
        <v>207</v>
      </c>
      <c r="E63" s="14" t="s">
        <v>264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241"/>
      <c r="Q63" s="14"/>
      <c r="R63" s="14"/>
      <c r="S63" s="14"/>
      <c r="T63" s="14"/>
      <c r="U63" s="14"/>
      <c r="V63" s="14"/>
      <c r="W63" s="14"/>
      <c r="X63" s="14"/>
      <c r="Y63" s="243"/>
      <c r="Z63" s="243"/>
      <c r="AA63" s="243"/>
      <c r="AB63" s="243"/>
      <c r="AC63" s="243"/>
      <c r="AD63" s="14"/>
      <c r="AE63" s="14"/>
      <c r="AF63" s="14"/>
      <c r="AG63" s="14"/>
      <c r="AH63" s="14"/>
      <c r="AI63" s="14"/>
    </row>
    <row r="64" spans="1:35" s="116" customFormat="1" ht="20.100000000000001" customHeight="1">
      <c r="A64" s="14"/>
      <c r="C64" s="14">
        <v>1886277668</v>
      </c>
      <c r="D64" s="14" t="s">
        <v>562</v>
      </c>
      <c r="E64" s="14" t="s">
        <v>389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241"/>
      <c r="Q64" s="14"/>
      <c r="R64" s="14"/>
      <c r="S64" s="14"/>
      <c r="T64" s="14"/>
      <c r="U64" s="14"/>
      <c r="V64" s="14"/>
      <c r="W64" s="14"/>
      <c r="X64" s="14"/>
      <c r="Y64" s="243"/>
      <c r="Z64" s="243"/>
      <c r="AA64" s="243"/>
      <c r="AB64" s="243"/>
      <c r="AC64" s="243"/>
      <c r="AD64" s="14"/>
      <c r="AE64" s="14"/>
      <c r="AF64" s="14"/>
      <c r="AG64" s="14"/>
      <c r="AH64" s="14"/>
      <c r="AI64" s="14"/>
    </row>
    <row r="65" spans="1:35" s="116" customFormat="1" ht="20.100000000000001" customHeight="1">
      <c r="A65" s="14"/>
      <c r="C65" s="14">
        <v>1468738927</v>
      </c>
      <c r="D65" s="14" t="s">
        <v>511</v>
      </c>
      <c r="E65" s="14" t="s">
        <v>550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241"/>
      <c r="Q65" s="14"/>
      <c r="R65" s="14"/>
      <c r="S65" s="14"/>
      <c r="T65" s="14"/>
      <c r="U65" s="14"/>
      <c r="V65" s="14"/>
      <c r="W65" s="14"/>
      <c r="X65" s="14"/>
      <c r="Y65" s="243"/>
      <c r="Z65" s="243"/>
      <c r="AA65" s="243"/>
      <c r="AB65" s="243"/>
      <c r="AC65" s="243"/>
      <c r="AD65" s="14"/>
      <c r="AE65" s="14"/>
      <c r="AF65" s="14"/>
      <c r="AG65" s="14"/>
      <c r="AH65" s="14"/>
      <c r="AI65" s="14"/>
    </row>
    <row r="66" spans="1:35" s="116" customFormat="1" ht="20.100000000000001" customHeight="1">
      <c r="A66" s="14"/>
      <c r="C66" s="14">
        <v>1937818033</v>
      </c>
      <c r="D66" s="14" t="s">
        <v>510</v>
      </c>
      <c r="E66" s="14" t="s">
        <v>551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241"/>
      <c r="Q66" s="14"/>
      <c r="R66" s="14"/>
      <c r="S66" s="14"/>
      <c r="T66" s="14"/>
      <c r="U66" s="14"/>
      <c r="V66" s="14"/>
      <c r="W66" s="14"/>
      <c r="X66" s="14"/>
      <c r="Y66" s="243"/>
      <c r="Z66" s="243"/>
      <c r="AA66" s="243"/>
      <c r="AB66" s="243"/>
      <c r="AC66" s="243"/>
      <c r="AD66" s="14"/>
      <c r="AE66" s="14"/>
      <c r="AF66" s="14"/>
      <c r="AG66" s="14"/>
      <c r="AH66" s="14"/>
      <c r="AI66" s="14"/>
    </row>
    <row r="67" spans="1:35" s="116" customFormat="1" ht="20.100000000000001" customHeight="1">
      <c r="A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241"/>
      <c r="Q67" s="14"/>
      <c r="R67" s="14"/>
      <c r="S67" s="14"/>
      <c r="T67" s="14"/>
      <c r="U67" s="14"/>
      <c r="V67" s="14"/>
      <c r="W67" s="14"/>
      <c r="X67" s="14"/>
      <c r="Y67" s="243"/>
      <c r="Z67" s="243"/>
      <c r="AA67" s="243"/>
      <c r="AB67" s="243"/>
      <c r="AC67" s="243"/>
      <c r="AD67" s="14"/>
      <c r="AE67" s="14"/>
      <c r="AF67" s="14"/>
      <c r="AG67" s="14"/>
      <c r="AH67" s="14"/>
      <c r="AI67" s="14"/>
    </row>
    <row r="68" spans="1:35" s="116" customFormat="1" ht="20.100000000000001" customHeight="1">
      <c r="A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241"/>
      <c r="Q68" s="14"/>
      <c r="R68" s="14"/>
      <c r="S68" s="14"/>
      <c r="T68" s="14"/>
      <c r="U68" s="14"/>
      <c r="V68" s="14"/>
      <c r="W68" s="14"/>
      <c r="X68" s="14"/>
      <c r="Y68" s="243"/>
      <c r="Z68" s="243"/>
      <c r="AA68" s="243"/>
      <c r="AB68" s="243"/>
      <c r="AC68" s="243"/>
      <c r="AD68" s="14"/>
      <c r="AE68" s="14"/>
      <c r="AF68" s="14"/>
      <c r="AG68" s="14"/>
      <c r="AH68" s="14"/>
      <c r="AI68" s="14"/>
    </row>
    <row r="69" spans="1:35" s="116" customFormat="1" ht="20.100000000000001" customHeight="1">
      <c r="A69" s="14"/>
      <c r="C69" s="14">
        <v>1726182684</v>
      </c>
      <c r="D69" s="14" t="s">
        <v>539</v>
      </c>
      <c r="E69" s="14" t="s">
        <v>546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241"/>
      <c r="Q69" s="14"/>
      <c r="R69" s="14"/>
      <c r="S69" s="14"/>
      <c r="T69" s="14"/>
      <c r="U69" s="14"/>
      <c r="V69" s="14"/>
      <c r="W69" s="14"/>
      <c r="X69" s="14"/>
      <c r="Y69" s="243"/>
      <c r="Z69" s="243"/>
      <c r="AA69" s="243"/>
      <c r="AB69" s="243"/>
      <c r="AC69" s="243"/>
      <c r="AD69" s="14"/>
      <c r="AE69" s="14"/>
      <c r="AF69" s="14"/>
      <c r="AG69" s="14"/>
      <c r="AH69" s="14"/>
      <c r="AI69" s="14"/>
    </row>
    <row r="70" spans="1:35" s="116" customFormat="1" ht="20.100000000000001" customHeight="1">
      <c r="A70" s="14"/>
      <c r="C70" s="14">
        <v>1248197916</v>
      </c>
      <c r="D70" s="14" t="s">
        <v>540</v>
      </c>
      <c r="E70" s="14" t="s">
        <v>537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241"/>
      <c r="Q70" s="14"/>
      <c r="R70" s="14"/>
      <c r="S70" s="14"/>
      <c r="T70" s="14"/>
      <c r="U70" s="14"/>
      <c r="V70" s="14"/>
      <c r="W70" s="14"/>
      <c r="X70" s="14"/>
      <c r="Y70" s="243"/>
      <c r="Z70" s="243"/>
      <c r="AA70" s="243"/>
      <c r="AB70" s="243"/>
      <c r="AC70" s="243"/>
      <c r="AD70" s="14"/>
      <c r="AE70" s="14"/>
      <c r="AF70" s="14"/>
      <c r="AG70" s="14"/>
      <c r="AH70" s="14"/>
      <c r="AI70" s="14"/>
    </row>
    <row r="71" spans="1:35" s="116" customFormat="1" ht="20.100000000000001" customHeight="1">
      <c r="A71" s="14"/>
      <c r="C71" s="14">
        <v>1731817909</v>
      </c>
      <c r="D71" s="14" t="s">
        <v>541</v>
      </c>
      <c r="E71" s="14" t="s">
        <v>533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241"/>
      <c r="Q71" s="14"/>
      <c r="R71" s="14"/>
      <c r="S71" s="14"/>
      <c r="T71" s="14"/>
      <c r="U71" s="14"/>
      <c r="V71" s="14"/>
      <c r="W71" s="14"/>
      <c r="X71" s="14"/>
      <c r="Y71" s="243"/>
      <c r="Z71" s="243"/>
      <c r="AA71" s="243"/>
      <c r="AB71" s="243"/>
      <c r="AC71" s="243"/>
      <c r="AD71" s="14"/>
      <c r="AE71" s="14"/>
      <c r="AF71" s="14"/>
      <c r="AG71" s="14"/>
      <c r="AH71" s="14"/>
      <c r="AI71" s="14"/>
    </row>
    <row r="72" spans="1:35" s="116" customFormat="1" ht="20.100000000000001" customHeight="1">
      <c r="A72" s="14"/>
      <c r="C72" s="14">
        <v>34283740</v>
      </c>
      <c r="D72" s="14" t="s">
        <v>542</v>
      </c>
      <c r="E72" s="14" t="s">
        <v>534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241"/>
      <c r="Q72" s="14"/>
      <c r="R72" s="14"/>
      <c r="S72" s="14"/>
      <c r="T72" s="14"/>
      <c r="U72" s="14"/>
      <c r="V72" s="14"/>
      <c r="W72" s="14"/>
      <c r="X72" s="14"/>
      <c r="Y72" s="243"/>
      <c r="Z72" s="243"/>
      <c r="AA72" s="243"/>
      <c r="AB72" s="243"/>
      <c r="AC72" s="243"/>
      <c r="AD72" s="14"/>
      <c r="AE72" s="14"/>
      <c r="AF72" s="14"/>
      <c r="AG72" s="14"/>
      <c r="AH72" s="14"/>
      <c r="AI72" s="14"/>
    </row>
    <row r="73" spans="1:35" s="116" customFormat="1" ht="20.100000000000001" customHeight="1">
      <c r="A73" s="14"/>
      <c r="C73" s="14">
        <v>37542360</v>
      </c>
      <c r="D73" s="14" t="s">
        <v>543</v>
      </c>
      <c r="E73" s="14" t="s">
        <v>538</v>
      </c>
      <c r="F73" s="247"/>
      <c r="G73" s="14"/>
      <c r="H73" s="14"/>
      <c r="I73" s="14"/>
      <c r="J73" s="14"/>
      <c r="K73" s="14"/>
      <c r="L73" s="14"/>
      <c r="M73" s="14"/>
      <c r="N73" s="14"/>
      <c r="O73" s="14"/>
      <c r="P73" s="241"/>
      <c r="Q73" s="14"/>
      <c r="R73" s="14"/>
      <c r="S73" s="14"/>
      <c r="T73" s="14"/>
      <c r="U73" s="14"/>
      <c r="V73" s="14"/>
      <c r="W73" s="14"/>
      <c r="X73" s="14"/>
      <c r="Y73" s="243"/>
      <c r="Z73" s="243"/>
      <c r="AA73" s="243"/>
      <c r="AB73" s="243"/>
      <c r="AC73" s="243"/>
      <c r="AD73" s="14"/>
      <c r="AE73" s="14"/>
      <c r="AF73" s="14"/>
      <c r="AG73" s="14"/>
      <c r="AH73" s="14"/>
      <c r="AI73" s="14"/>
    </row>
    <row r="74" spans="1:35" s="116" customFormat="1" ht="20.100000000000001" customHeight="1">
      <c r="A74" s="14"/>
      <c r="C74" s="14">
        <v>1004387540</v>
      </c>
      <c r="D74" s="14" t="s">
        <v>544</v>
      </c>
      <c r="E74" s="14" t="s">
        <v>553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241"/>
      <c r="Q74" s="14"/>
      <c r="R74" s="14"/>
      <c r="S74" s="14"/>
      <c r="T74" s="14"/>
      <c r="U74" s="14"/>
      <c r="V74" s="14"/>
      <c r="W74" s="14"/>
      <c r="X74" s="14"/>
      <c r="Y74" s="243"/>
      <c r="Z74" s="243"/>
      <c r="AA74" s="243"/>
      <c r="AB74" s="243"/>
      <c r="AC74" s="243"/>
      <c r="AD74" s="14"/>
      <c r="AE74" s="14"/>
      <c r="AF74" s="14"/>
      <c r="AG74" s="14"/>
      <c r="AH74" s="14"/>
      <c r="AI74" s="14"/>
    </row>
    <row r="75" spans="1:35" s="116" customFormat="1" ht="20.100000000000001" customHeight="1">
      <c r="A75" s="14"/>
      <c r="C75" s="14">
        <v>1628980692</v>
      </c>
      <c r="D75" s="14" t="s">
        <v>545</v>
      </c>
      <c r="E75" s="14" t="s">
        <v>535</v>
      </c>
      <c r="F75" s="247"/>
      <c r="G75" s="14"/>
      <c r="H75" s="14"/>
      <c r="I75" s="14"/>
      <c r="J75" s="14"/>
      <c r="K75" s="14"/>
      <c r="L75" s="14"/>
      <c r="M75" s="14"/>
      <c r="N75" s="14"/>
      <c r="O75" s="14"/>
      <c r="P75" s="241"/>
      <c r="Q75" s="14"/>
      <c r="R75" s="14"/>
      <c r="S75" s="14"/>
      <c r="T75" s="14"/>
      <c r="U75" s="14"/>
      <c r="V75" s="14"/>
      <c r="W75" s="14"/>
      <c r="X75" s="14"/>
      <c r="Y75" s="243"/>
      <c r="Z75" s="243"/>
      <c r="AA75" s="243"/>
      <c r="AB75" s="243"/>
      <c r="AC75" s="243"/>
      <c r="AD75" s="14"/>
      <c r="AE75" s="14"/>
      <c r="AF75" s="14"/>
      <c r="AG75" s="14"/>
      <c r="AH75" s="14"/>
      <c r="AI75" s="14"/>
    </row>
    <row r="76" spans="1:35" s="116" customFormat="1" ht="20.100000000000001" customHeight="1">
      <c r="A76" s="14"/>
      <c r="C76" s="14">
        <v>2022817604</v>
      </c>
      <c r="D76" s="14" t="s">
        <v>563</v>
      </c>
      <c r="E76" s="14" t="s">
        <v>536</v>
      </c>
      <c r="F76" s="247"/>
      <c r="G76" s="14"/>
      <c r="H76" s="14"/>
      <c r="I76" s="14"/>
      <c r="J76" s="14"/>
      <c r="K76" s="14"/>
      <c r="L76" s="14"/>
      <c r="M76" s="14"/>
      <c r="N76" s="14"/>
      <c r="O76" s="14"/>
      <c r="P76" s="241"/>
      <c r="Q76" s="14"/>
      <c r="R76" s="14"/>
      <c r="S76" s="14"/>
      <c r="T76" s="14"/>
      <c r="U76" s="14"/>
      <c r="V76" s="14"/>
      <c r="W76" s="14"/>
      <c r="X76" s="14"/>
      <c r="Y76" s="243"/>
      <c r="Z76" s="243"/>
      <c r="AA76" s="243"/>
      <c r="AB76" s="243"/>
      <c r="AC76" s="243"/>
      <c r="AD76" s="14"/>
      <c r="AE76" s="14"/>
      <c r="AF76" s="14"/>
      <c r="AG76" s="14"/>
      <c r="AH76" s="14"/>
      <c r="AI76" s="14"/>
    </row>
    <row r="77" spans="1:35" s="116" customFormat="1" ht="20.100000000000001" customHeight="1">
      <c r="A77" s="14"/>
      <c r="C77" s="14">
        <v>1108685948</v>
      </c>
      <c r="D77" s="14" t="s">
        <v>323</v>
      </c>
      <c r="E77" s="14" t="s">
        <v>416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241"/>
      <c r="Q77" s="14"/>
      <c r="R77" s="14"/>
      <c r="S77" s="14"/>
      <c r="T77" s="14"/>
      <c r="U77" s="14"/>
      <c r="V77" s="14"/>
      <c r="W77" s="14">
        <v>5</v>
      </c>
      <c r="X77" s="14"/>
      <c r="Y77" s="243"/>
      <c r="Z77" s="243"/>
      <c r="AA77" s="243"/>
      <c r="AB77" s="243"/>
      <c r="AC77" s="243"/>
      <c r="AD77" s="14"/>
      <c r="AE77" s="14"/>
      <c r="AF77" s="14"/>
      <c r="AG77" s="14"/>
      <c r="AH77" s="14"/>
      <c r="AI77" s="14"/>
    </row>
    <row r="78" spans="1:35" s="116" customFormat="1" ht="20.100000000000001" customHeight="1">
      <c r="A78" s="14"/>
      <c r="C78" s="14">
        <v>2099188087</v>
      </c>
      <c r="D78" s="14" t="s">
        <v>503</v>
      </c>
      <c r="E78" s="14" t="s">
        <v>572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241"/>
      <c r="Q78" s="14"/>
      <c r="R78" s="14"/>
      <c r="S78" s="14"/>
      <c r="T78" s="14"/>
      <c r="U78" s="14"/>
      <c r="V78" s="14"/>
      <c r="W78" s="14"/>
      <c r="X78" s="14"/>
      <c r="Y78" s="243"/>
      <c r="Z78" s="243"/>
      <c r="AA78" s="243"/>
      <c r="AB78" s="243"/>
      <c r="AC78" s="243"/>
      <c r="AD78" s="14"/>
      <c r="AE78" s="14"/>
      <c r="AF78" s="14"/>
      <c r="AG78" s="14"/>
      <c r="AH78" s="14"/>
      <c r="AI78" s="14"/>
    </row>
    <row r="79" spans="1:35" s="116" customFormat="1" ht="20.100000000000001" customHeight="1">
      <c r="A79" s="14"/>
      <c r="C79" s="14">
        <v>1596131027</v>
      </c>
      <c r="D79" s="14" t="s">
        <v>573</v>
      </c>
      <c r="E79" s="14" t="s">
        <v>574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241"/>
      <c r="Q79" s="14"/>
      <c r="R79" s="14"/>
      <c r="S79" s="14"/>
      <c r="T79" s="14"/>
      <c r="U79" s="14"/>
      <c r="V79" s="14"/>
      <c r="W79" s="14"/>
      <c r="X79" s="14"/>
      <c r="Y79" s="243"/>
      <c r="Z79" s="243"/>
      <c r="AA79" s="243"/>
      <c r="AB79" s="243"/>
      <c r="AC79" s="243"/>
      <c r="AD79" s="244"/>
      <c r="AE79" s="244"/>
      <c r="AF79" s="14"/>
      <c r="AG79" s="14"/>
      <c r="AH79" s="14"/>
      <c r="AI79" s="14"/>
    </row>
    <row r="80" spans="1:35" s="116" customFormat="1" ht="20.100000000000001" customHeight="1">
      <c r="A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241"/>
      <c r="Q80" s="14"/>
      <c r="R80" s="14"/>
      <c r="S80" s="14"/>
      <c r="T80" s="14"/>
      <c r="U80" s="14"/>
      <c r="V80" s="14"/>
      <c r="W80" s="14"/>
      <c r="X80" s="14"/>
      <c r="Y80" s="243"/>
      <c r="Z80" s="243"/>
      <c r="AA80" s="243"/>
      <c r="AB80" s="243"/>
      <c r="AC80" s="243"/>
      <c r="AD80" s="244"/>
      <c r="AE80" s="244"/>
      <c r="AF80" s="14"/>
      <c r="AG80" s="14"/>
      <c r="AH80" s="14"/>
      <c r="AI80" s="14"/>
    </row>
    <row r="81" spans="1:35" s="116" customFormat="1" ht="20.100000000000001" customHeight="1">
      <c r="A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241"/>
      <c r="Q81" s="14"/>
      <c r="R81" s="14"/>
      <c r="S81" s="14"/>
      <c r="T81" s="14"/>
      <c r="U81" s="14"/>
      <c r="V81" s="14"/>
      <c r="W81" s="14"/>
      <c r="X81" s="14"/>
      <c r="Y81" s="243"/>
      <c r="Z81" s="243"/>
      <c r="AA81" s="243"/>
      <c r="AB81" s="243"/>
      <c r="AC81" s="243"/>
      <c r="AD81" s="244"/>
      <c r="AE81" s="244"/>
      <c r="AF81" s="14"/>
      <c r="AG81" s="14"/>
      <c r="AH81" s="14"/>
      <c r="AI81" s="14"/>
    </row>
    <row r="82" spans="1:35" s="116" customFormat="1" ht="20.100000000000001" customHeight="1">
      <c r="A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241"/>
      <c r="Q82" s="14"/>
      <c r="R82" s="14"/>
      <c r="S82" s="14"/>
      <c r="T82" s="14"/>
      <c r="U82" s="14"/>
      <c r="V82" s="14"/>
      <c r="W82" s="14"/>
      <c r="X82" s="14"/>
      <c r="Y82" s="243"/>
      <c r="Z82" s="243"/>
      <c r="AA82" s="243"/>
      <c r="AB82" s="243"/>
      <c r="AC82" s="243"/>
      <c r="AD82" s="244"/>
      <c r="AE82" s="244"/>
      <c r="AF82" s="14"/>
      <c r="AG82" s="14"/>
      <c r="AH82" s="14"/>
      <c r="AI82" s="14"/>
    </row>
    <row r="83" spans="1:35" s="116" customFormat="1" ht="20.100000000000001" customHeight="1">
      <c r="A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241"/>
      <c r="Q83" s="14"/>
      <c r="R83" s="14"/>
      <c r="S83" s="14"/>
      <c r="T83" s="14"/>
      <c r="U83" s="14"/>
      <c r="V83" s="14"/>
      <c r="W83" s="14"/>
      <c r="X83" s="14"/>
      <c r="Y83" s="243"/>
      <c r="Z83" s="243"/>
      <c r="AA83" s="243"/>
      <c r="AB83" s="243"/>
      <c r="AC83" s="243"/>
      <c r="AD83" s="244"/>
      <c r="AE83" s="244"/>
      <c r="AF83" s="14"/>
      <c r="AG83" s="14"/>
      <c r="AH83" s="14"/>
      <c r="AI83" s="14"/>
    </row>
    <row r="84" spans="1:35" s="116" customFormat="1" ht="20.100000000000001" customHeight="1">
      <c r="A84" s="14"/>
      <c r="C84" s="14"/>
      <c r="D84" s="14" t="s">
        <v>69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241"/>
      <c r="Q84" s="14"/>
      <c r="R84" s="14"/>
      <c r="S84" s="14"/>
      <c r="T84" s="14"/>
      <c r="U84" s="14"/>
      <c r="V84" s="14"/>
      <c r="W84" s="14"/>
      <c r="X84" s="14"/>
      <c r="Y84" s="243"/>
      <c r="Z84" s="243"/>
      <c r="AA84" s="243"/>
      <c r="AB84" s="243"/>
      <c r="AC84" s="243"/>
      <c r="AD84" s="14"/>
      <c r="AE84" s="14"/>
      <c r="AF84" s="14"/>
      <c r="AG84" s="14"/>
      <c r="AH84" s="14"/>
      <c r="AI84" s="14"/>
    </row>
    <row r="85" spans="1:35" s="116" customFormat="1" ht="20.100000000000001" customHeight="1">
      <c r="A85" s="14"/>
      <c r="C85" s="14">
        <v>1726182684</v>
      </c>
      <c r="D85" s="14" t="s">
        <v>539</v>
      </c>
      <c r="E85" s="14" t="s">
        <v>546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241"/>
      <c r="Q85" s="14"/>
      <c r="R85" s="14"/>
      <c r="S85" s="14"/>
      <c r="T85" s="14"/>
      <c r="U85" s="14"/>
      <c r="V85" s="14"/>
      <c r="W85" s="14"/>
      <c r="X85" s="14"/>
      <c r="Y85" s="243"/>
      <c r="Z85" s="243"/>
      <c r="AA85" s="243"/>
      <c r="AB85" s="243"/>
      <c r="AC85" s="243"/>
      <c r="AD85" s="14"/>
      <c r="AE85" s="14"/>
      <c r="AF85" s="14"/>
      <c r="AG85" s="14"/>
      <c r="AH85" s="14"/>
      <c r="AI85" s="14"/>
    </row>
    <row r="86" spans="1:35" s="116" customFormat="1" ht="20.100000000000001" customHeight="1">
      <c r="A86" s="14"/>
      <c r="C86" s="14"/>
      <c r="D86" s="14" t="s">
        <v>47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241"/>
      <c r="Q86" s="14"/>
      <c r="R86" s="14"/>
      <c r="S86" s="14"/>
      <c r="T86" s="14"/>
      <c r="U86" s="14"/>
      <c r="V86" s="14"/>
      <c r="W86" s="14"/>
      <c r="X86" s="14"/>
      <c r="Y86" s="243"/>
      <c r="Z86" s="243"/>
      <c r="AA86" s="243"/>
      <c r="AB86" s="243"/>
      <c r="AC86" s="243"/>
      <c r="AD86" s="14"/>
      <c r="AE86" s="14"/>
      <c r="AF86" s="14"/>
      <c r="AG86" s="14"/>
      <c r="AH86" s="14"/>
      <c r="AI86" s="14"/>
    </row>
    <row r="87" spans="1:35" s="116" customFormat="1" ht="20.100000000000001" customHeight="1">
      <c r="A87" s="14"/>
      <c r="C87" s="14"/>
      <c r="D87" s="14" t="s">
        <v>41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241"/>
      <c r="Q87" s="14"/>
      <c r="R87" s="14"/>
      <c r="S87" s="14"/>
      <c r="T87" s="14"/>
      <c r="U87" s="14"/>
      <c r="V87" s="14"/>
      <c r="W87" s="14"/>
      <c r="X87" s="14"/>
      <c r="Y87" s="243"/>
      <c r="Z87" s="243"/>
      <c r="AA87" s="243"/>
      <c r="AB87" s="243"/>
      <c r="AC87" s="243"/>
      <c r="AD87" s="14"/>
      <c r="AE87" s="14"/>
      <c r="AF87" s="14"/>
      <c r="AG87" s="14"/>
      <c r="AH87" s="14"/>
      <c r="AI87" s="14"/>
    </row>
    <row r="88" spans="1:35" s="116" customFormat="1" ht="20.100000000000001" customHeight="1">
      <c r="A88" s="14"/>
      <c r="C88" s="14"/>
      <c r="D88" s="14" t="s">
        <v>325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241"/>
      <c r="Q88" s="14"/>
      <c r="R88" s="14"/>
      <c r="S88" s="14"/>
      <c r="T88" s="14"/>
      <c r="U88" s="14"/>
      <c r="V88" s="14"/>
      <c r="W88" s="14"/>
      <c r="X88" s="14"/>
      <c r="Y88" s="243"/>
      <c r="Z88" s="243"/>
      <c r="AA88" s="243"/>
      <c r="AB88" s="243"/>
      <c r="AC88" s="243"/>
      <c r="AD88" s="14"/>
      <c r="AE88" s="14"/>
      <c r="AF88" s="14"/>
      <c r="AG88" s="14"/>
      <c r="AH88" s="14"/>
      <c r="AI88" s="14"/>
    </row>
    <row r="89" spans="1:35" s="116" customFormat="1" ht="20.100000000000001" customHeight="1">
      <c r="A89" s="14"/>
      <c r="C89" s="14"/>
      <c r="D89" s="14" t="s">
        <v>153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241"/>
      <c r="Q89" s="14"/>
      <c r="R89" s="14"/>
      <c r="S89" s="14"/>
      <c r="T89" s="14"/>
      <c r="U89" s="14"/>
      <c r="V89" s="14"/>
      <c r="W89" s="14"/>
      <c r="X89" s="14"/>
      <c r="Y89" s="243"/>
      <c r="Z89" s="243"/>
      <c r="AA89" s="243"/>
      <c r="AB89" s="243"/>
      <c r="AC89" s="243"/>
      <c r="AD89" s="14"/>
      <c r="AE89" s="14"/>
      <c r="AF89" s="14"/>
      <c r="AG89" s="14"/>
      <c r="AH89" s="14"/>
      <c r="AI89" s="14"/>
    </row>
    <row r="90" spans="1:35" s="116" customFormat="1" ht="20.100000000000001" customHeight="1">
      <c r="A90" s="14"/>
      <c r="C90" s="14"/>
      <c r="D90" s="14" t="s">
        <v>171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241"/>
      <c r="Q90" s="14"/>
      <c r="R90" s="14"/>
      <c r="S90" s="14"/>
      <c r="T90" s="14"/>
      <c r="U90" s="14"/>
      <c r="V90" s="14"/>
      <c r="W90" s="14"/>
      <c r="X90" s="14"/>
      <c r="Y90" s="243"/>
      <c r="Z90" s="243"/>
      <c r="AA90" s="243"/>
      <c r="AB90" s="243"/>
      <c r="AC90" s="243"/>
      <c r="AD90" s="14"/>
      <c r="AE90" s="14"/>
      <c r="AF90" s="14"/>
      <c r="AG90" s="14"/>
      <c r="AH90" s="14"/>
      <c r="AI90" s="14"/>
    </row>
    <row r="91" spans="1:35" s="116" customFormat="1" ht="20.100000000000001" customHeight="1">
      <c r="A91" s="14"/>
      <c r="C91" s="14"/>
      <c r="D91" s="14" t="s">
        <v>138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241"/>
      <c r="Q91" s="14"/>
      <c r="R91" s="14"/>
      <c r="S91" s="14"/>
      <c r="T91" s="14"/>
      <c r="U91" s="14"/>
      <c r="V91" s="14"/>
      <c r="W91" s="14"/>
      <c r="X91" s="14"/>
      <c r="Y91" s="243"/>
      <c r="Z91" s="243"/>
      <c r="AA91" s="243"/>
      <c r="AB91" s="243"/>
      <c r="AC91" s="243"/>
      <c r="AD91" s="14"/>
      <c r="AE91" s="14"/>
      <c r="AF91" s="14"/>
      <c r="AG91" s="14"/>
      <c r="AH91" s="14"/>
      <c r="AI91" s="14"/>
    </row>
    <row r="92" spans="1:35" s="116" customFormat="1" ht="20.100000000000001" customHeight="1">
      <c r="A92" s="14"/>
      <c r="C92" s="14"/>
      <c r="D92" s="14" t="s">
        <v>73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241"/>
      <c r="Q92" s="14"/>
      <c r="R92" s="14"/>
      <c r="S92" s="14"/>
      <c r="T92" s="14"/>
      <c r="U92" s="14"/>
      <c r="V92" s="14"/>
      <c r="W92" s="14"/>
      <c r="X92" s="14"/>
      <c r="Y92" s="243"/>
      <c r="Z92" s="243"/>
      <c r="AA92" s="243"/>
      <c r="AB92" s="243"/>
      <c r="AC92" s="243"/>
      <c r="AD92" s="14"/>
      <c r="AE92" s="14"/>
      <c r="AF92" s="14"/>
      <c r="AG92" s="14"/>
      <c r="AH92" s="14"/>
      <c r="AI92" s="14"/>
    </row>
    <row r="93" spans="1:35" s="116" customFormat="1" ht="20.100000000000001" customHeight="1">
      <c r="A93" s="14"/>
      <c r="C93" s="14">
        <v>1294147426</v>
      </c>
      <c r="D93" s="14" t="s">
        <v>21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241"/>
      <c r="Q93" s="14"/>
      <c r="R93" s="14"/>
      <c r="S93" s="14"/>
      <c r="T93" s="14"/>
      <c r="U93" s="14"/>
      <c r="V93" s="14"/>
      <c r="W93" s="14"/>
      <c r="X93" s="14"/>
      <c r="Y93" s="243"/>
      <c r="Z93" s="243"/>
      <c r="AA93" s="243"/>
      <c r="AB93" s="243"/>
      <c r="AC93" s="243"/>
      <c r="AD93" s="14"/>
      <c r="AE93" s="14"/>
      <c r="AF93" s="14"/>
      <c r="AG93" s="14"/>
      <c r="AH93" s="14"/>
      <c r="AI93" s="14"/>
    </row>
    <row r="94" spans="1:35" s="116" customFormat="1" ht="20.100000000000001" customHeight="1">
      <c r="A94" s="14"/>
      <c r="C94" s="14"/>
      <c r="D94" s="14" t="s">
        <v>362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241"/>
      <c r="Q94" s="14"/>
      <c r="R94" s="14"/>
      <c r="S94" s="14"/>
      <c r="T94" s="14"/>
      <c r="U94" s="14"/>
      <c r="V94" s="14"/>
      <c r="W94" s="14"/>
      <c r="X94" s="14"/>
      <c r="Y94" s="243"/>
      <c r="Z94" s="243"/>
      <c r="AA94" s="243"/>
      <c r="AB94" s="243"/>
      <c r="AC94" s="243"/>
      <c r="AD94" s="14"/>
      <c r="AE94" s="14"/>
      <c r="AF94" s="14"/>
      <c r="AG94" s="14"/>
      <c r="AH94" s="14"/>
      <c r="AI94" s="14"/>
    </row>
    <row r="95" spans="1:35" s="116" customFormat="1" ht="20.100000000000001" customHeight="1">
      <c r="A95" s="14"/>
      <c r="C95" s="14"/>
      <c r="D95" s="14" t="s">
        <v>364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241"/>
      <c r="Q95" s="14"/>
      <c r="R95" s="14"/>
      <c r="S95" s="14"/>
      <c r="T95" s="14"/>
      <c r="U95" s="14"/>
      <c r="V95" s="14"/>
      <c r="W95" s="14"/>
      <c r="X95" s="14"/>
      <c r="Y95" s="243"/>
      <c r="Z95" s="243"/>
      <c r="AA95" s="243"/>
      <c r="AB95" s="243"/>
      <c r="AC95" s="243"/>
      <c r="AD95" s="14"/>
      <c r="AE95" s="14"/>
      <c r="AF95" s="14"/>
      <c r="AG95" s="14"/>
      <c r="AH95" s="14"/>
      <c r="AI95" s="14"/>
    </row>
    <row r="96" spans="1:35" s="116" customFormat="1" ht="20.100000000000001" customHeight="1">
      <c r="A96" s="14"/>
      <c r="C96" s="14"/>
      <c r="D96" s="14" t="s">
        <v>367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241"/>
      <c r="Q96" s="14"/>
      <c r="R96" s="14"/>
      <c r="S96" s="14"/>
      <c r="T96" s="14"/>
      <c r="U96" s="14"/>
      <c r="V96" s="14"/>
      <c r="W96" s="14"/>
      <c r="X96" s="14"/>
      <c r="Y96" s="243"/>
      <c r="Z96" s="243"/>
      <c r="AA96" s="243"/>
      <c r="AB96" s="243"/>
      <c r="AC96" s="243"/>
      <c r="AD96" s="14"/>
      <c r="AE96" s="14"/>
      <c r="AF96" s="14"/>
      <c r="AG96" s="14"/>
      <c r="AH96" s="14"/>
      <c r="AI96" s="14"/>
    </row>
    <row r="97" spans="1:35" s="116" customFormat="1" ht="20.100000000000001" customHeight="1">
      <c r="A97" s="14"/>
      <c r="C97" s="14"/>
      <c r="D97" s="14" t="s">
        <v>55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241"/>
      <c r="Q97" s="14"/>
      <c r="R97" s="14"/>
      <c r="S97" s="14"/>
      <c r="T97" s="14"/>
      <c r="U97" s="14"/>
      <c r="V97" s="14"/>
      <c r="W97" s="14"/>
      <c r="X97" s="14"/>
      <c r="Y97" s="243"/>
      <c r="Z97" s="243"/>
      <c r="AA97" s="243"/>
      <c r="AB97" s="243"/>
      <c r="AC97" s="243"/>
      <c r="AD97" s="14"/>
      <c r="AE97" s="14"/>
      <c r="AF97" s="14"/>
      <c r="AG97" s="14"/>
      <c r="AH97" s="14"/>
      <c r="AI97" s="14"/>
    </row>
    <row r="98" spans="1:35" s="116" customFormat="1" ht="20.100000000000001" customHeight="1">
      <c r="A98" s="14"/>
      <c r="C98" s="14">
        <v>465407558</v>
      </c>
      <c r="D98" s="14" t="s">
        <v>518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241"/>
      <c r="Q98" s="14"/>
      <c r="R98" s="14"/>
      <c r="S98" s="14"/>
      <c r="T98" s="14"/>
      <c r="U98" s="14"/>
      <c r="V98" s="14"/>
      <c r="W98" s="14"/>
      <c r="X98" s="14"/>
      <c r="Y98" s="243"/>
      <c r="Z98" s="243"/>
      <c r="AA98" s="243"/>
      <c r="AB98" s="243"/>
      <c r="AC98" s="243"/>
      <c r="AD98" s="14"/>
      <c r="AE98" s="14"/>
      <c r="AF98" s="14"/>
      <c r="AG98" s="14"/>
      <c r="AH98" s="14"/>
      <c r="AI98" s="14"/>
    </row>
    <row r="99" spans="1:35" s="116" customFormat="1" ht="20.100000000000001" customHeight="1">
      <c r="A99" s="14"/>
      <c r="C99" s="14">
        <v>37775617</v>
      </c>
      <c r="D99" s="14" t="s">
        <v>360</v>
      </c>
      <c r="E99" s="14" t="str">
        <f>"https://m.place.naver.com/place/" &amp;C99 &amp; "/home"</f>
        <v>https://m.place.naver.com/place/37775617/home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241"/>
      <c r="Q99" s="14"/>
      <c r="R99" s="14"/>
      <c r="S99" s="14"/>
      <c r="T99" s="14"/>
      <c r="U99" s="14"/>
      <c r="V99" s="14"/>
      <c r="W99" s="14"/>
      <c r="X99" s="14"/>
      <c r="Y99" s="243"/>
      <c r="Z99" s="243"/>
      <c r="AA99" s="243"/>
      <c r="AB99" s="243"/>
      <c r="AC99" s="243"/>
      <c r="AD99" s="14"/>
      <c r="AE99" s="14"/>
      <c r="AF99" s="14"/>
      <c r="AG99" s="14"/>
      <c r="AH99" s="14"/>
      <c r="AI99" s="14"/>
    </row>
    <row r="100" spans="1:35" s="116" customFormat="1" ht="20.100000000000001" customHeight="1">
      <c r="A100" s="14"/>
      <c r="C100" s="14">
        <v>2021830539</v>
      </c>
      <c r="D100" s="14" t="s">
        <v>349</v>
      </c>
      <c r="E100" s="14" t="s">
        <v>397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241"/>
      <c r="Q100" s="14"/>
      <c r="R100" s="14"/>
      <c r="S100" s="14"/>
      <c r="T100" s="14"/>
      <c r="U100" s="14"/>
      <c r="V100" s="14"/>
      <c r="W100" s="14"/>
      <c r="X100" s="14"/>
      <c r="Y100" s="243"/>
      <c r="Z100" s="243"/>
      <c r="AA100" s="243"/>
      <c r="AB100" s="243"/>
      <c r="AC100" s="243"/>
      <c r="AD100" s="14"/>
      <c r="AE100" s="14"/>
      <c r="AF100" s="14"/>
      <c r="AG100" s="14"/>
      <c r="AH100" s="14"/>
      <c r="AI100" s="14"/>
    </row>
    <row r="101" spans="1:35" s="116" customFormat="1" ht="20.100000000000001" customHeight="1">
      <c r="A101" s="14"/>
      <c r="C101" s="14">
        <v>1642603227</v>
      </c>
      <c r="D101" s="14" t="s">
        <v>211</v>
      </c>
      <c r="E101" s="14" t="s">
        <v>395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241"/>
      <c r="Q101" s="14"/>
      <c r="R101" s="14"/>
      <c r="S101" s="14"/>
      <c r="T101" s="14"/>
      <c r="U101" s="14"/>
      <c r="V101" s="14"/>
      <c r="W101" s="14"/>
      <c r="X101" s="14"/>
      <c r="Y101" s="243"/>
      <c r="Z101" s="243"/>
      <c r="AA101" s="243"/>
      <c r="AB101" s="243"/>
      <c r="AC101" s="243"/>
      <c r="AD101" s="14"/>
      <c r="AE101" s="14"/>
      <c r="AF101" s="14"/>
      <c r="AG101" s="14"/>
      <c r="AH101" s="14"/>
      <c r="AI101" s="14"/>
    </row>
    <row r="102" spans="1:35" s="116" customFormat="1" ht="20.100000000000001" customHeight="1">
      <c r="A102" s="14"/>
      <c r="C102" s="14"/>
      <c r="D102" s="14" t="s">
        <v>372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241"/>
      <c r="Q102" s="14"/>
      <c r="R102" s="14"/>
      <c r="S102" s="14"/>
      <c r="T102" s="14"/>
      <c r="U102" s="14"/>
      <c r="V102" s="14"/>
      <c r="W102" s="14"/>
      <c r="X102" s="14"/>
      <c r="Y102" s="243"/>
      <c r="Z102" s="243"/>
      <c r="AA102" s="243"/>
      <c r="AB102" s="243"/>
      <c r="AC102" s="243"/>
      <c r="AD102" s="14"/>
      <c r="AE102" s="14"/>
      <c r="AF102" s="14"/>
      <c r="AG102" s="14"/>
      <c r="AH102" s="14"/>
      <c r="AI102" s="14"/>
    </row>
    <row r="103" spans="1:35" s="116" customFormat="1" ht="20.100000000000001" customHeight="1">
      <c r="A103" s="14"/>
      <c r="C103" s="14"/>
      <c r="D103" s="14" t="s">
        <v>564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241"/>
      <c r="Q103" s="14"/>
      <c r="R103" s="14"/>
      <c r="S103" s="14"/>
      <c r="T103" s="14"/>
      <c r="U103" s="14"/>
      <c r="V103" s="14"/>
      <c r="W103" s="14"/>
      <c r="X103" s="14"/>
      <c r="Y103" s="243"/>
      <c r="Z103" s="243"/>
      <c r="AA103" s="243"/>
      <c r="AB103" s="243"/>
      <c r="AC103" s="243"/>
      <c r="AD103" s="14"/>
      <c r="AE103" s="14"/>
      <c r="AF103" s="14"/>
      <c r="AG103" s="14"/>
      <c r="AH103" s="14"/>
      <c r="AI103" s="14"/>
    </row>
    <row r="104" spans="1:35" s="116" customFormat="1" ht="20.100000000000001" customHeight="1">
      <c r="A104" s="14"/>
      <c r="C104" s="14"/>
      <c r="D104" s="14" t="s">
        <v>40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241"/>
      <c r="Q104" s="14"/>
      <c r="R104" s="14"/>
      <c r="S104" s="14"/>
      <c r="T104" s="14"/>
      <c r="U104" s="14"/>
      <c r="V104" s="14"/>
      <c r="W104" s="14"/>
      <c r="X104" s="14"/>
      <c r="Y104" s="243"/>
      <c r="Z104" s="243"/>
      <c r="AA104" s="243"/>
      <c r="AB104" s="243"/>
      <c r="AC104" s="243"/>
      <c r="AD104" s="14"/>
      <c r="AE104" s="14"/>
      <c r="AF104" s="14"/>
      <c r="AG104" s="14"/>
      <c r="AH104" s="14"/>
      <c r="AI104" s="14"/>
    </row>
    <row r="105" spans="1:35" s="116" customFormat="1" ht="20.100000000000001" customHeight="1">
      <c r="A105" s="14"/>
      <c r="C105" s="14"/>
      <c r="D105" s="14" t="s">
        <v>18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241"/>
      <c r="Q105" s="14"/>
      <c r="R105" s="14"/>
      <c r="S105" s="14"/>
      <c r="T105" s="14"/>
      <c r="U105" s="14"/>
      <c r="V105" s="14"/>
      <c r="W105" s="14"/>
      <c r="X105" s="14"/>
      <c r="Y105" s="243"/>
      <c r="Z105" s="243"/>
      <c r="AA105" s="243"/>
      <c r="AB105" s="243"/>
      <c r="AC105" s="243"/>
      <c r="AD105" s="14"/>
      <c r="AE105" s="14"/>
      <c r="AF105" s="14"/>
      <c r="AG105" s="14"/>
      <c r="AH105" s="14"/>
      <c r="AI105" s="14"/>
    </row>
    <row r="106" spans="1:35" s="116" customFormat="1" ht="20.100000000000001" customHeight="1">
      <c r="A106" s="14"/>
      <c r="C106" s="14"/>
      <c r="D106" s="14" t="s">
        <v>565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241"/>
      <c r="Q106" s="14"/>
      <c r="R106" s="14"/>
      <c r="S106" s="14"/>
      <c r="T106" s="14"/>
      <c r="U106" s="14"/>
      <c r="V106" s="14"/>
      <c r="W106" s="14"/>
      <c r="X106" s="14"/>
      <c r="Y106" s="243"/>
      <c r="Z106" s="243"/>
      <c r="AA106" s="243"/>
      <c r="AB106" s="243"/>
      <c r="AC106" s="243"/>
      <c r="AD106" s="14"/>
      <c r="AE106" s="14"/>
      <c r="AF106" s="14"/>
      <c r="AG106" s="14"/>
      <c r="AH106" s="14"/>
      <c r="AI106" s="14"/>
    </row>
    <row r="107" spans="1:35" s="116" customFormat="1" ht="20.100000000000001" customHeight="1">
      <c r="A107" s="14"/>
      <c r="C107" s="14"/>
      <c r="D107" s="14" t="s">
        <v>165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241"/>
      <c r="Q107" s="14"/>
      <c r="R107" s="14"/>
      <c r="S107" s="14"/>
      <c r="T107" s="14"/>
      <c r="U107" s="14"/>
      <c r="V107" s="14"/>
      <c r="W107" s="14"/>
      <c r="X107" s="14"/>
      <c r="Y107" s="243"/>
      <c r="Z107" s="243"/>
      <c r="AA107" s="243"/>
      <c r="AB107" s="243"/>
      <c r="AC107" s="243"/>
      <c r="AD107" s="14"/>
      <c r="AE107" s="14"/>
      <c r="AF107" s="14"/>
      <c r="AG107" s="14"/>
      <c r="AH107" s="14"/>
      <c r="AI107" s="14"/>
    </row>
    <row r="108" spans="1:35" s="116" customFormat="1" ht="20.100000000000001" customHeight="1">
      <c r="A108" s="14"/>
      <c r="C108" s="14"/>
      <c r="D108" s="14" t="s">
        <v>349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241"/>
      <c r="Q108" s="14"/>
      <c r="R108" s="14"/>
      <c r="S108" s="14"/>
      <c r="T108" s="14"/>
      <c r="U108" s="14"/>
      <c r="V108" s="14"/>
      <c r="W108" s="14"/>
      <c r="X108" s="14"/>
      <c r="Y108" s="243"/>
      <c r="Z108" s="243"/>
      <c r="AA108" s="243"/>
      <c r="AB108" s="243"/>
      <c r="AC108" s="243"/>
      <c r="AD108" s="14"/>
      <c r="AE108" s="14"/>
      <c r="AF108" s="14"/>
      <c r="AG108" s="14"/>
      <c r="AH108" s="14"/>
      <c r="AI108" s="14"/>
    </row>
    <row r="109" spans="1:35" s="116" customFormat="1" ht="20.100000000000001" customHeight="1">
      <c r="A109" s="14"/>
      <c r="C109" s="14"/>
      <c r="D109" s="14" t="s">
        <v>173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241"/>
      <c r="Q109" s="14"/>
      <c r="R109" s="14"/>
      <c r="S109" s="14"/>
      <c r="T109" s="14"/>
      <c r="U109" s="14"/>
      <c r="V109" s="14"/>
      <c r="W109" s="14"/>
      <c r="X109" s="14"/>
      <c r="Y109" s="243"/>
      <c r="Z109" s="243"/>
      <c r="AA109" s="243"/>
      <c r="AB109" s="243"/>
      <c r="AC109" s="243"/>
      <c r="AD109" s="14"/>
      <c r="AE109" s="14"/>
      <c r="AF109" s="14"/>
      <c r="AG109" s="14"/>
      <c r="AH109" s="14"/>
      <c r="AI109" s="14"/>
    </row>
    <row r="110" spans="1:35" s="116" customFormat="1" ht="20.100000000000001" customHeight="1">
      <c r="A110" s="14"/>
      <c r="C110" s="14">
        <v>2022575390</v>
      </c>
      <c r="D110" s="14" t="s">
        <v>413</v>
      </c>
      <c r="E110" s="14" t="str">
        <f>"https://m.place.naver.com/place/" &amp;C110 &amp; "/home"</f>
        <v>https://m.place.naver.com/place/2022575390/home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241"/>
      <c r="Q110" s="14"/>
      <c r="R110" s="14"/>
      <c r="S110" s="14"/>
      <c r="T110" s="14"/>
      <c r="U110" s="14"/>
      <c r="V110" s="14"/>
      <c r="W110" s="14"/>
      <c r="X110" s="14"/>
      <c r="Y110" s="243"/>
      <c r="Z110" s="243"/>
      <c r="AA110" s="243"/>
      <c r="AB110" s="243"/>
      <c r="AC110" s="243"/>
      <c r="AD110" s="14"/>
      <c r="AE110" s="14"/>
      <c r="AF110" s="14"/>
      <c r="AG110" s="14"/>
      <c r="AH110" s="14"/>
      <c r="AI110" s="14"/>
    </row>
    <row r="111" spans="1:35" s="116" customFormat="1" ht="20.100000000000001" customHeight="1">
      <c r="A111" s="14"/>
      <c r="C111" s="14">
        <v>1768171911</v>
      </c>
      <c r="D111" s="14" t="s">
        <v>411</v>
      </c>
      <c r="E111" s="14" t="str">
        <f>"https://m.place.naver.com/place/" &amp;C111 &amp; "/home"</f>
        <v>https://m.place.naver.com/place/1768171911/home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241"/>
      <c r="Q111" s="14"/>
      <c r="R111" s="14"/>
      <c r="S111" s="14"/>
      <c r="T111" s="14"/>
      <c r="U111" s="14"/>
      <c r="V111" s="14"/>
      <c r="W111" s="14"/>
      <c r="X111" s="14"/>
      <c r="Y111" s="243"/>
      <c r="Z111" s="243"/>
      <c r="AA111" s="243"/>
      <c r="AB111" s="243"/>
      <c r="AC111" s="243"/>
      <c r="AD111" s="14"/>
      <c r="AE111" s="14"/>
      <c r="AF111" s="14"/>
      <c r="AG111" s="14"/>
      <c r="AH111" s="14"/>
      <c r="AI111" s="14"/>
    </row>
    <row r="112" spans="1:35" s="116" customFormat="1" ht="20.100000000000001" customHeight="1">
      <c r="A112" s="14"/>
      <c r="C112" s="14"/>
      <c r="D112" s="14" t="s">
        <v>503</v>
      </c>
      <c r="E112" s="14" t="str">
        <f>"https://m.place.naver.com/place/" &amp;C112 &amp; "/home"</f>
        <v>https://m.place.naver.com/place//home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241"/>
      <c r="Q112" s="14"/>
      <c r="R112" s="14"/>
      <c r="S112" s="14"/>
      <c r="T112" s="14"/>
      <c r="U112" s="14"/>
      <c r="V112" s="14"/>
      <c r="W112" s="14"/>
      <c r="X112" s="14"/>
      <c r="Y112" s="243"/>
      <c r="Z112" s="243"/>
      <c r="AA112" s="243"/>
      <c r="AB112" s="243"/>
      <c r="AC112" s="243"/>
      <c r="AD112" s="244"/>
      <c r="AE112" s="244"/>
      <c r="AF112" s="14"/>
      <c r="AG112" s="14"/>
      <c r="AH112" s="14"/>
      <c r="AI112" s="14"/>
    </row>
    <row r="113" spans="1:38" s="116" customFormat="1" ht="20.100000000000001" customHeight="1">
      <c r="A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241"/>
      <c r="Q113" s="14"/>
      <c r="R113" s="14"/>
      <c r="S113" s="14"/>
      <c r="T113" s="14"/>
      <c r="U113" s="14"/>
      <c r="V113" s="14"/>
      <c r="W113" s="14"/>
      <c r="X113" s="14"/>
      <c r="Y113" s="243"/>
      <c r="Z113" s="243"/>
      <c r="AA113" s="243"/>
      <c r="AB113" s="243"/>
      <c r="AC113" s="243"/>
      <c r="AD113" s="14"/>
      <c r="AE113" s="14"/>
      <c r="AF113" s="14"/>
      <c r="AG113" s="14"/>
      <c r="AH113" s="14"/>
      <c r="AI113" s="14"/>
    </row>
    <row r="114" spans="1:38" s="116" customFormat="1" ht="20.100000000000001" customHeight="1">
      <c r="A114" s="14"/>
      <c r="C114" s="14"/>
      <c r="D114" s="14" t="s">
        <v>125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241"/>
      <c r="Q114" s="14"/>
      <c r="R114" s="14"/>
      <c r="S114" s="14"/>
      <c r="T114" s="14"/>
      <c r="U114" s="14"/>
      <c r="V114" s="14"/>
      <c r="W114" s="14"/>
      <c r="X114" s="14"/>
      <c r="Y114" s="243"/>
      <c r="Z114" s="243"/>
      <c r="AA114" s="243"/>
      <c r="AB114" s="243"/>
      <c r="AC114" s="243"/>
      <c r="AD114" s="14"/>
      <c r="AE114" s="14"/>
      <c r="AF114" s="14"/>
      <c r="AG114" s="14"/>
      <c r="AH114" s="14"/>
      <c r="AI114" s="14"/>
      <c r="AL114" s="116">
        <v>64680</v>
      </c>
    </row>
    <row r="115" spans="1:38" s="116" customFormat="1" ht="20.100000000000001" customHeight="1">
      <c r="A115" s="14"/>
      <c r="C115" s="14"/>
      <c r="D115" s="14" t="s">
        <v>49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241"/>
      <c r="Q115" s="14"/>
      <c r="R115" s="14"/>
      <c r="S115" s="14"/>
      <c r="T115" s="14"/>
      <c r="U115" s="14"/>
      <c r="V115" s="14"/>
      <c r="W115" s="14"/>
      <c r="X115" s="14"/>
      <c r="Y115" s="243"/>
      <c r="Z115" s="243"/>
      <c r="AA115" s="243"/>
      <c r="AB115" s="243"/>
      <c r="AC115" s="243"/>
      <c r="AD115" s="14"/>
      <c r="AE115" s="14"/>
      <c r="AF115" s="14"/>
      <c r="AG115" s="14"/>
      <c r="AH115" s="14"/>
      <c r="AI115" s="14"/>
    </row>
    <row r="116" spans="1:38" s="116" customFormat="1" ht="20.100000000000001" customHeight="1">
      <c r="A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241"/>
      <c r="Q116" s="14"/>
      <c r="R116" s="14"/>
      <c r="S116" s="14"/>
      <c r="T116" s="14"/>
      <c r="U116" s="14"/>
      <c r="V116" s="14"/>
      <c r="W116" s="14"/>
      <c r="X116" s="14"/>
      <c r="Y116" s="243"/>
      <c r="Z116" s="243"/>
      <c r="AA116" s="243"/>
      <c r="AB116" s="243"/>
      <c r="AC116" s="243"/>
      <c r="AD116" s="14"/>
      <c r="AE116" s="14"/>
      <c r="AF116" s="14"/>
      <c r="AG116" s="14"/>
      <c r="AH116" s="14"/>
      <c r="AI116" s="14"/>
    </row>
    <row r="117" spans="1:38" s="116" customFormat="1" ht="23.25" customHeight="1">
      <c r="A117" s="14"/>
      <c r="B117" s="14"/>
      <c r="C117" s="14">
        <v>1761921683</v>
      </c>
      <c r="D117" s="14" t="s">
        <v>502</v>
      </c>
      <c r="E117" s="14" t="str">
        <f>"https://m.place.naver.com/place/" &amp;C117 &amp; "/home"</f>
        <v>https://m.place.naver.com/place/1761921683/home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241"/>
      <c r="Q117" s="14"/>
      <c r="R117" s="14"/>
      <c r="S117" s="14"/>
      <c r="T117" s="242"/>
      <c r="U117" s="215"/>
      <c r="V117" s="216"/>
      <c r="W117" s="242"/>
      <c r="X117" s="242"/>
      <c r="Y117" s="243"/>
      <c r="Z117" s="243"/>
      <c r="AA117" s="243"/>
      <c r="AB117" s="243"/>
      <c r="AC117" s="243"/>
      <c r="AD117" s="244"/>
      <c r="AE117" s="244"/>
      <c r="AF117" s="14"/>
      <c r="AG117" s="14"/>
      <c r="AH117" s="14"/>
      <c r="AI117" s="14"/>
    </row>
    <row r="118" spans="1:38" s="116" customFormat="1" ht="23.25" customHeight="1">
      <c r="A118" s="14" t="s">
        <v>508</v>
      </c>
      <c r="B118" s="239">
        <v>45994</v>
      </c>
      <c r="C118" s="14">
        <v>2011495902</v>
      </c>
      <c r="D118" s="14" t="s">
        <v>346</v>
      </c>
      <c r="E118" s="14" t="str">
        <f>"https://m.place.naver.com/place/" &amp;C118 &amp; "/home"</f>
        <v>https://m.place.naver.com/place/2011495902/home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241"/>
      <c r="Q118" s="14"/>
      <c r="R118" s="14"/>
      <c r="S118" s="14"/>
      <c r="T118" s="242"/>
      <c r="U118" s="215"/>
      <c r="V118" s="216"/>
      <c r="W118" s="242"/>
      <c r="X118" s="242"/>
      <c r="Y118" s="243"/>
      <c r="Z118" s="243"/>
      <c r="AA118" s="243"/>
      <c r="AB118" s="243"/>
      <c r="AC118" s="243"/>
      <c r="AD118" s="14"/>
      <c r="AE118" s="14"/>
      <c r="AF118" s="14"/>
      <c r="AG118" s="14"/>
      <c r="AH118" s="14"/>
      <c r="AI118" s="14"/>
    </row>
    <row r="119" spans="1:38" s="116" customFormat="1" ht="23.25" customHeight="1">
      <c r="A119" s="14"/>
      <c r="B119" s="14"/>
      <c r="C119" s="14">
        <v>2036330504</v>
      </c>
      <c r="D119" s="14" t="s">
        <v>347</v>
      </c>
      <c r="E119" s="14" t="str">
        <f>"https://m.place.naver.com/place/" &amp;C119 &amp; "/home"</f>
        <v>https://m.place.naver.com/place/2036330504/home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241"/>
      <c r="Q119" s="14"/>
      <c r="R119" s="14"/>
      <c r="S119" s="14"/>
      <c r="T119" s="242"/>
      <c r="U119" s="215"/>
      <c r="V119" s="216"/>
      <c r="W119" s="242"/>
      <c r="X119" s="242"/>
      <c r="Y119" s="243"/>
      <c r="Z119" s="243"/>
      <c r="AA119" s="243"/>
      <c r="AB119" s="243"/>
      <c r="AC119" s="243"/>
      <c r="AD119" s="14"/>
      <c r="AE119" s="14"/>
      <c r="AF119" s="14"/>
      <c r="AG119" s="14"/>
      <c r="AH119" s="14"/>
      <c r="AI119" s="14"/>
    </row>
    <row r="120" spans="1:38" s="116" customFormat="1" ht="23.25" customHeight="1">
      <c r="A120" s="14"/>
      <c r="B120" s="14"/>
      <c r="C120" s="14">
        <v>2048523733</v>
      </c>
      <c r="D120" s="14" t="s">
        <v>500</v>
      </c>
      <c r="E120" s="14" t="str">
        <f>"https://m.place.naver.com/place/" &amp;C120 &amp; "/home"</f>
        <v>https://m.place.naver.com/place/2048523733/home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241"/>
      <c r="Q120" s="14"/>
      <c r="R120" s="14"/>
      <c r="S120" s="14"/>
      <c r="T120" s="242"/>
      <c r="U120" s="215"/>
      <c r="V120" s="216"/>
      <c r="W120" s="242"/>
      <c r="X120" s="242"/>
      <c r="Y120" s="243"/>
      <c r="Z120" s="243"/>
      <c r="AA120" s="243"/>
      <c r="AB120" s="243"/>
      <c r="AC120" s="243"/>
      <c r="AD120" s="244"/>
      <c r="AE120" s="244"/>
      <c r="AF120" s="14"/>
      <c r="AG120" s="14"/>
      <c r="AH120" s="14"/>
      <c r="AI120" s="14"/>
    </row>
    <row r="121" spans="1:38" s="116" customFormat="1" ht="23.25" customHeight="1">
      <c r="A121" s="14"/>
      <c r="B121" s="14"/>
      <c r="C121" s="14">
        <v>2095974921</v>
      </c>
      <c r="D121" s="14" t="s">
        <v>501</v>
      </c>
      <c r="E121" s="14" t="str">
        <f>"https://m.place.naver.com/place/" &amp;C121 &amp; "/home"</f>
        <v>https://m.place.naver.com/place/2095974921/home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241"/>
      <c r="Q121" s="14"/>
      <c r="R121" s="14"/>
      <c r="S121" s="14"/>
      <c r="T121" s="242"/>
      <c r="U121" s="215"/>
      <c r="V121" s="216"/>
      <c r="W121" s="242"/>
      <c r="X121" s="242"/>
      <c r="Y121" s="243"/>
      <c r="Z121" s="243"/>
      <c r="AA121" s="243"/>
      <c r="AB121" s="243"/>
      <c r="AC121" s="243"/>
      <c r="AD121" s="244"/>
      <c r="AE121" s="244"/>
      <c r="AF121" s="14"/>
      <c r="AG121" s="14"/>
      <c r="AH121" s="14"/>
      <c r="AI121" s="14"/>
    </row>
    <row r="122" spans="1:38" s="116" customFormat="1" ht="20.100000000000001" customHeight="1">
      <c r="A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241"/>
      <c r="Q122" s="14"/>
      <c r="R122" s="14"/>
      <c r="S122" s="14"/>
      <c r="T122" s="14"/>
      <c r="U122" s="14"/>
      <c r="V122" s="14"/>
      <c r="W122" s="14"/>
      <c r="X122" s="14"/>
      <c r="Y122" s="243"/>
      <c r="Z122" s="243"/>
      <c r="AA122" s="243"/>
      <c r="AB122" s="243"/>
      <c r="AC122" s="243"/>
      <c r="AD122" s="14"/>
      <c r="AE122" s="14"/>
      <c r="AF122" s="14"/>
      <c r="AG122" s="14"/>
      <c r="AH122" s="14"/>
      <c r="AI122" s="14"/>
    </row>
    <row r="123" spans="1:38" s="116" customFormat="1" ht="20.100000000000001" customHeight="1">
      <c r="A123" s="14"/>
      <c r="C123" s="14"/>
      <c r="D123" s="14" t="s">
        <v>133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241"/>
      <c r="Q123" s="14"/>
      <c r="R123" s="14"/>
      <c r="S123" s="14"/>
      <c r="T123" s="14"/>
      <c r="U123" s="14"/>
      <c r="V123" s="14"/>
      <c r="W123" s="14"/>
      <c r="X123" s="14"/>
      <c r="Y123" s="243"/>
      <c r="Z123" s="243"/>
      <c r="AA123" s="243"/>
      <c r="AB123" s="243"/>
      <c r="AC123" s="243"/>
      <c r="AD123" s="14"/>
      <c r="AE123" s="14"/>
      <c r="AF123" s="14"/>
      <c r="AG123" s="14"/>
      <c r="AH123" s="14"/>
      <c r="AI123" s="14"/>
    </row>
    <row r="124" spans="1:38" s="116" customFormat="1" ht="20.100000000000001" customHeight="1">
      <c r="A124" s="14"/>
      <c r="C124" s="14"/>
      <c r="D124" s="14" t="s">
        <v>131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241"/>
      <c r="Q124" s="14"/>
      <c r="R124" s="14"/>
      <c r="S124" s="14"/>
      <c r="T124" s="14"/>
      <c r="U124" s="14"/>
      <c r="V124" s="14"/>
      <c r="W124" s="14"/>
      <c r="X124" s="14"/>
      <c r="Y124" s="243"/>
      <c r="Z124" s="243"/>
      <c r="AA124" s="243"/>
      <c r="AB124" s="243"/>
      <c r="AC124" s="243"/>
      <c r="AD124" s="14"/>
      <c r="AE124" s="14"/>
      <c r="AF124" s="14"/>
      <c r="AG124" s="14"/>
      <c r="AH124" s="14"/>
      <c r="AI124" s="14"/>
    </row>
    <row r="125" spans="1:38" s="116" customFormat="1" ht="20.100000000000001" customHeight="1">
      <c r="A125" s="14"/>
      <c r="C125" s="14"/>
      <c r="D125" s="14" t="s">
        <v>132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241"/>
      <c r="Q125" s="14"/>
      <c r="R125" s="14"/>
      <c r="S125" s="14"/>
      <c r="T125" s="14"/>
      <c r="U125" s="14"/>
      <c r="V125" s="14"/>
      <c r="W125" s="14"/>
      <c r="X125" s="14"/>
      <c r="Y125" s="243"/>
      <c r="Z125" s="243"/>
      <c r="AA125" s="243"/>
      <c r="AB125" s="243"/>
      <c r="AC125" s="243"/>
      <c r="AD125" s="14"/>
      <c r="AE125" s="14"/>
      <c r="AF125" s="14"/>
      <c r="AG125" s="14"/>
      <c r="AH125" s="14"/>
      <c r="AI125" s="14"/>
    </row>
    <row r="126" spans="1:38" s="116" customFormat="1" ht="20.100000000000001" customHeight="1">
      <c r="A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241"/>
      <c r="Q126" s="14"/>
      <c r="R126" s="14"/>
      <c r="S126" s="14"/>
      <c r="T126" s="14"/>
      <c r="U126" s="14"/>
      <c r="V126" s="14"/>
      <c r="W126" s="14"/>
      <c r="X126" s="14"/>
      <c r="Y126" s="243"/>
      <c r="Z126" s="243"/>
      <c r="AA126" s="243"/>
      <c r="AB126" s="243"/>
      <c r="AC126" s="243"/>
      <c r="AD126" s="14"/>
      <c r="AE126" s="14"/>
      <c r="AF126" s="14"/>
      <c r="AG126" s="14"/>
      <c r="AH126" s="14"/>
      <c r="AI126" s="14"/>
    </row>
    <row r="127" spans="1:38" s="116" customFormat="1" ht="20.100000000000001" customHeight="1">
      <c r="A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241"/>
      <c r="Q127" s="14"/>
      <c r="R127" s="14"/>
      <c r="S127" s="14"/>
      <c r="T127" s="14"/>
      <c r="U127" s="14"/>
      <c r="V127" s="14"/>
      <c r="W127" s="14"/>
      <c r="X127" s="14"/>
      <c r="Y127" s="243"/>
      <c r="Z127" s="243"/>
      <c r="AA127" s="243"/>
      <c r="AB127" s="243"/>
      <c r="AC127" s="243"/>
      <c r="AD127" s="14"/>
      <c r="AE127" s="14"/>
      <c r="AF127" s="14"/>
      <c r="AG127" s="14"/>
      <c r="AH127" s="14"/>
      <c r="AI127" s="14"/>
    </row>
    <row r="128" spans="1:38" s="116" customFormat="1" ht="20.100000000000001" customHeight="1">
      <c r="A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241"/>
      <c r="Q128" s="14"/>
      <c r="R128" s="14"/>
      <c r="S128" s="14"/>
      <c r="T128" s="14"/>
      <c r="U128" s="14"/>
      <c r="V128" s="14"/>
      <c r="W128" s="14"/>
      <c r="X128" s="14"/>
      <c r="Y128" s="243"/>
      <c r="Z128" s="243"/>
      <c r="AA128" s="243"/>
      <c r="AB128" s="243"/>
      <c r="AC128" s="243"/>
      <c r="AD128" s="14"/>
      <c r="AE128" s="14"/>
      <c r="AF128" s="14"/>
      <c r="AG128" s="14"/>
      <c r="AH128" s="14"/>
      <c r="AI128" s="14"/>
    </row>
    <row r="129" spans="1:35" s="116" customFormat="1" ht="20.100000000000001" customHeight="1">
      <c r="A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241"/>
      <c r="Q129" s="14"/>
      <c r="R129" s="14"/>
      <c r="S129" s="14"/>
      <c r="T129" s="14"/>
      <c r="U129" s="14"/>
      <c r="V129" s="14"/>
      <c r="W129" s="14"/>
      <c r="X129" s="14"/>
      <c r="Y129" s="243"/>
      <c r="Z129" s="243"/>
      <c r="AA129" s="243"/>
      <c r="AB129" s="243"/>
      <c r="AC129" s="243"/>
      <c r="AD129" s="14"/>
      <c r="AE129" s="14"/>
      <c r="AF129" s="14"/>
      <c r="AG129" s="14"/>
      <c r="AH129" s="14"/>
      <c r="AI129" s="14"/>
    </row>
    <row r="130" spans="1:35" s="116" customFormat="1" ht="20.100000000000001" customHeight="1">
      <c r="A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241"/>
      <c r="Q130" s="14"/>
      <c r="R130" s="14"/>
      <c r="S130" s="14"/>
      <c r="T130" s="14"/>
      <c r="U130" s="14"/>
      <c r="V130" s="14"/>
      <c r="W130" s="14"/>
      <c r="X130" s="14"/>
      <c r="Y130" s="243"/>
      <c r="Z130" s="243"/>
      <c r="AA130" s="243"/>
      <c r="AB130" s="243"/>
      <c r="AC130" s="243"/>
      <c r="AD130" s="14"/>
      <c r="AE130" s="14"/>
      <c r="AF130" s="14"/>
      <c r="AG130" s="14"/>
      <c r="AH130" s="14"/>
      <c r="AI130" s="14"/>
    </row>
  </sheetData>
  <phoneticPr fontId="1" type="noConversion"/>
  <hyperlinks>
    <hyperlink ref="E39" r:id="rId1" xr:uid="{20CBE457-C3E0-42C4-BFE9-EE4EE9347366}"/>
    <hyperlink ref="E40" r:id="rId2" xr:uid="{B5C3DC6A-F5D4-4D0F-9191-EB76897175C1}"/>
    <hyperlink ref="E33" r:id="rId3" xr:uid="{E705A1E7-2938-4813-A509-11A460CA97E6}"/>
    <hyperlink ref="E62" r:id="rId4" display="https://m.place.naver.com/hairshop/1509576334/home" xr:uid="{745B4227-0652-4C58-BF87-204DE71BA985}"/>
    <hyperlink ref="E32" r:id="rId5" xr:uid="{46C1AE37-BCA5-4BED-96B5-43AE9A775485}"/>
    <hyperlink ref="E74" r:id="rId6" xr:uid="{4A2C2B28-869B-4C04-850A-44442290D32A}"/>
    <hyperlink ref="E35" r:id="rId7" xr:uid="{77D3906D-9181-46E5-A5F4-EDDD167A7C2C}"/>
    <hyperlink ref="E36" r:id="rId8" xr:uid="{C450E51B-0BBD-4C2A-8A64-AB3241775F66}"/>
    <hyperlink ref="E29" r:id="rId9" xr:uid="{BFD39CC6-3DA2-4B63-9897-A019FC8D16E9}"/>
    <hyperlink ref="E78" r:id="rId10" xr:uid="{B719F38C-4329-44FC-AF1B-9345819DD211}"/>
    <hyperlink ref="E79" r:id="rId11" xr:uid="{4F2D59BE-EE86-4087-B380-6A469A194670}"/>
    <hyperlink ref="E38" r:id="rId12" xr:uid="{1521A27B-AA4E-4C1B-ACC7-45587507DDCD}"/>
  </hyperlinks>
  <pageMargins left="0.7" right="0.7" top="0.75" bottom="0.75" header="0.3" footer="0.3"/>
  <pageSetup paperSize="9" orientation="portrait" r:id="rId13"/>
  <tableParts count="1"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7461-8344-45D8-B450-477B14E32147}">
  <sheetPr filterMode="1"/>
  <dimension ref="A1:H23"/>
  <sheetViews>
    <sheetView workbookViewId="0">
      <selection activeCell="B2" sqref="B2"/>
    </sheetView>
  </sheetViews>
  <sheetFormatPr defaultRowHeight="16.5"/>
  <cols>
    <col min="1" max="1" width="13.25" bestFit="1" customWidth="1"/>
    <col min="2" max="2" width="34.75" bestFit="1" customWidth="1"/>
    <col min="3" max="3" width="49.625" hidden="1" customWidth="1"/>
    <col min="4" max="5" width="0" hidden="1" customWidth="1"/>
    <col min="6" max="6" width="10.875" hidden="1" customWidth="1"/>
    <col min="7" max="7" width="9.375" hidden="1" customWidth="1"/>
    <col min="8" max="8" width="9.375" bestFit="1" customWidth="1"/>
  </cols>
  <sheetData>
    <row r="1" spans="1:8" s="2" customFormat="1">
      <c r="A1" s="5" t="s">
        <v>584</v>
      </c>
      <c r="B1" s="5" t="s">
        <v>585</v>
      </c>
      <c r="C1" s="5" t="s">
        <v>586</v>
      </c>
      <c r="D1" s="5" t="s">
        <v>587</v>
      </c>
      <c r="E1" s="5" t="s">
        <v>440</v>
      </c>
      <c r="F1" s="5" t="s">
        <v>25</v>
      </c>
      <c r="G1" s="5" t="s">
        <v>588</v>
      </c>
      <c r="H1" s="5" t="s">
        <v>53</v>
      </c>
    </row>
    <row r="2" spans="1:8">
      <c r="A2" s="14">
        <v>1683089915</v>
      </c>
      <c r="B2" s="14" t="s">
        <v>557</v>
      </c>
      <c r="C2" s="287" t="s">
        <v>387</v>
      </c>
      <c r="D2" s="14">
        <v>200</v>
      </c>
      <c r="E2" s="14"/>
      <c r="F2" s="14">
        <v>5</v>
      </c>
      <c r="G2" s="14">
        <v>5</v>
      </c>
      <c r="H2" s="4"/>
    </row>
    <row r="3" spans="1:8">
      <c r="A3" s="14">
        <v>1881917537</v>
      </c>
      <c r="B3" s="14" t="s">
        <v>207</v>
      </c>
      <c r="C3" s="287" t="s">
        <v>264</v>
      </c>
      <c r="D3" s="14">
        <v>200</v>
      </c>
      <c r="E3" s="14"/>
      <c r="F3" s="14">
        <v>5</v>
      </c>
      <c r="G3" s="14">
        <v>5</v>
      </c>
      <c r="H3" s="4"/>
    </row>
    <row r="4" spans="1:8">
      <c r="A4" s="14">
        <v>1839268518</v>
      </c>
      <c r="B4" s="14" t="s">
        <v>558</v>
      </c>
      <c r="C4" s="287" t="s">
        <v>392</v>
      </c>
      <c r="D4" s="14">
        <v>200</v>
      </c>
      <c r="E4" s="14">
        <v>200</v>
      </c>
      <c r="F4" s="14">
        <v>10</v>
      </c>
      <c r="G4" s="14">
        <v>5</v>
      </c>
      <c r="H4" s="14">
        <v>10</v>
      </c>
    </row>
    <row r="5" spans="1:8">
      <c r="A5" s="14">
        <v>1287821286</v>
      </c>
      <c r="B5" s="14" t="s">
        <v>555</v>
      </c>
      <c r="C5" s="287" t="s">
        <v>265</v>
      </c>
      <c r="D5" s="14">
        <v>200</v>
      </c>
      <c r="E5" s="14">
        <v>200</v>
      </c>
      <c r="F5" s="14">
        <v>5</v>
      </c>
      <c r="G5" s="14">
        <v>5</v>
      </c>
      <c r="H5" s="14">
        <v>10</v>
      </c>
    </row>
    <row r="6" spans="1:8">
      <c r="A6" s="14">
        <v>1632138788</v>
      </c>
      <c r="B6" s="14" t="s">
        <v>559</v>
      </c>
      <c r="C6" s="287" t="s">
        <v>530</v>
      </c>
      <c r="D6" s="14">
        <v>200</v>
      </c>
      <c r="E6" s="14"/>
      <c r="F6" s="14">
        <v>7</v>
      </c>
      <c r="G6" s="14">
        <v>5</v>
      </c>
      <c r="H6" s="14">
        <v>5</v>
      </c>
    </row>
    <row r="7" spans="1:8">
      <c r="A7" s="14">
        <v>1886277668</v>
      </c>
      <c r="B7" s="14" t="s">
        <v>562</v>
      </c>
      <c r="C7" s="287" t="s">
        <v>389</v>
      </c>
      <c r="D7" s="14">
        <v>200</v>
      </c>
      <c r="E7" s="14"/>
      <c r="F7" s="14">
        <v>5</v>
      </c>
      <c r="G7" s="14">
        <v>5</v>
      </c>
      <c r="H7" s="14">
        <v>5</v>
      </c>
    </row>
    <row r="8" spans="1:8">
      <c r="A8" s="14">
        <v>1022013892</v>
      </c>
      <c r="B8" s="14" t="s">
        <v>554</v>
      </c>
      <c r="C8" s="287" t="s">
        <v>381</v>
      </c>
      <c r="D8" s="14">
        <v>200</v>
      </c>
      <c r="E8" s="14">
        <v>200</v>
      </c>
      <c r="F8" s="14">
        <v>15</v>
      </c>
      <c r="G8" s="14">
        <v>10</v>
      </c>
      <c r="H8" s="14">
        <v>20</v>
      </c>
    </row>
    <row r="9" spans="1:8">
      <c r="A9" s="14">
        <v>2035334597</v>
      </c>
      <c r="B9" s="14" t="s">
        <v>205</v>
      </c>
      <c r="C9" s="287" t="s">
        <v>390</v>
      </c>
      <c r="D9" s="14">
        <v>200</v>
      </c>
      <c r="E9" s="14"/>
      <c r="F9" s="14">
        <v>5</v>
      </c>
      <c r="G9" s="14">
        <v>5</v>
      </c>
      <c r="H9" s="4"/>
    </row>
    <row r="10" spans="1:8">
      <c r="A10" s="14">
        <v>1421207239</v>
      </c>
      <c r="B10" s="14" t="s">
        <v>556</v>
      </c>
      <c r="C10" s="287" t="s">
        <v>385</v>
      </c>
      <c r="D10" s="14">
        <v>200</v>
      </c>
      <c r="E10" s="14"/>
      <c r="F10" s="14">
        <v>7</v>
      </c>
      <c r="G10" s="14">
        <v>5</v>
      </c>
      <c r="H10" s="14">
        <v>5</v>
      </c>
    </row>
    <row r="11" spans="1:8">
      <c r="A11" s="14">
        <v>1016917438</v>
      </c>
      <c r="B11" s="14" t="s">
        <v>561</v>
      </c>
      <c r="C11" s="287" t="s">
        <v>382</v>
      </c>
      <c r="D11" s="14">
        <v>200</v>
      </c>
      <c r="E11" s="14"/>
      <c r="F11" s="14">
        <v>10</v>
      </c>
      <c r="G11" s="14">
        <v>5</v>
      </c>
      <c r="H11" s="14">
        <v>10</v>
      </c>
    </row>
    <row r="12" spans="1:8">
      <c r="A12" s="14">
        <v>1872013382</v>
      </c>
      <c r="B12" s="14" t="s">
        <v>449</v>
      </c>
      <c r="C12" s="287" t="s">
        <v>547</v>
      </c>
      <c r="D12" s="14">
        <v>200</v>
      </c>
      <c r="E12" s="14">
        <v>200</v>
      </c>
      <c r="F12" s="14">
        <v>10</v>
      </c>
      <c r="G12" s="14">
        <v>5</v>
      </c>
      <c r="H12" s="14">
        <v>10</v>
      </c>
    </row>
    <row r="13" spans="1:8" hidden="1">
      <c r="A13" s="14">
        <v>1898707389</v>
      </c>
      <c r="B13" s="14" t="s">
        <v>509</v>
      </c>
      <c r="C13" s="287" t="s">
        <v>548</v>
      </c>
      <c r="D13" s="14"/>
      <c r="E13" s="14"/>
      <c r="F13" s="14"/>
    </row>
    <row r="14" spans="1:8" hidden="1">
      <c r="A14" s="14">
        <v>2056858156</v>
      </c>
      <c r="B14" s="14" t="s">
        <v>512</v>
      </c>
      <c r="C14" s="287" t="s">
        <v>549</v>
      </c>
      <c r="D14" s="14"/>
      <c r="E14" s="14"/>
      <c r="F14" s="14"/>
    </row>
    <row r="15" spans="1:8">
      <c r="A15" s="14">
        <v>1258228694</v>
      </c>
      <c r="B15" s="14" t="s">
        <v>203</v>
      </c>
      <c r="C15" s="287" t="s">
        <v>262</v>
      </c>
      <c r="D15" s="14">
        <v>200</v>
      </c>
      <c r="E15" s="14"/>
      <c r="F15" s="14">
        <v>10</v>
      </c>
      <c r="G15" s="14">
        <v>5</v>
      </c>
      <c r="H15" s="14">
        <v>10</v>
      </c>
    </row>
    <row r="16" spans="1:8">
      <c r="A16" s="14">
        <v>1509576334</v>
      </c>
      <c r="B16" s="14" t="s">
        <v>560</v>
      </c>
      <c r="C16" s="287" t="s">
        <v>531</v>
      </c>
      <c r="D16" s="14">
        <v>200</v>
      </c>
      <c r="E16" s="14"/>
      <c r="F16" s="14">
        <v>5</v>
      </c>
      <c r="G16" s="14">
        <v>5</v>
      </c>
      <c r="H16" s="14"/>
    </row>
    <row r="17" spans="1:8">
      <c r="A17" s="14">
        <v>1642603227</v>
      </c>
      <c r="B17" s="14" t="s">
        <v>211</v>
      </c>
      <c r="C17" s="287" t="s">
        <v>532</v>
      </c>
      <c r="D17" s="14">
        <v>200</v>
      </c>
      <c r="E17" s="14">
        <v>200</v>
      </c>
      <c r="F17" s="14">
        <v>5</v>
      </c>
      <c r="G17" s="14">
        <v>5</v>
      </c>
      <c r="H17" s="14">
        <v>5</v>
      </c>
    </row>
    <row r="18" spans="1:8">
      <c r="A18" s="14">
        <v>1201249206</v>
      </c>
      <c r="B18" s="14" t="s">
        <v>352</v>
      </c>
      <c r="C18" s="287" t="s">
        <v>394</v>
      </c>
      <c r="D18" s="14">
        <v>200</v>
      </c>
      <c r="E18" s="14"/>
      <c r="F18" s="14">
        <v>7</v>
      </c>
      <c r="G18" s="14">
        <v>5</v>
      </c>
      <c r="H18" s="14">
        <v>10</v>
      </c>
    </row>
    <row r="19" spans="1:8" hidden="1">
      <c r="A19" s="14">
        <v>1468738927</v>
      </c>
      <c r="B19" s="14" t="s">
        <v>511</v>
      </c>
      <c r="C19" s="287" t="s">
        <v>550</v>
      </c>
      <c r="D19" s="14"/>
      <c r="E19" s="14"/>
      <c r="F19" s="14"/>
    </row>
    <row r="20" spans="1:8" hidden="1">
      <c r="A20" s="14">
        <v>1937818033</v>
      </c>
      <c r="B20" s="14" t="s">
        <v>510</v>
      </c>
      <c r="C20" s="287" t="s">
        <v>551</v>
      </c>
      <c r="D20" s="14"/>
      <c r="E20" s="14"/>
      <c r="F20" s="14"/>
    </row>
    <row r="21" spans="1:8" hidden="1">
      <c r="F21">
        <f>SUBTOTAL(9,F2:F18)</f>
        <v>111</v>
      </c>
      <c r="G21">
        <f>SUBTOTAL(9,G2:G18)</f>
        <v>80</v>
      </c>
      <c r="H21">
        <f>SUBTOTAL(9,H2:H18)</f>
        <v>100</v>
      </c>
    </row>
    <row r="22" spans="1:8" hidden="1">
      <c r="F22" s="288">
        <f>F21*2500*7</f>
        <v>1942500</v>
      </c>
      <c r="G22" s="288">
        <f>G21*800*7</f>
        <v>448000</v>
      </c>
      <c r="H22" s="288">
        <f>H21*400*7</f>
        <v>280000</v>
      </c>
    </row>
    <row r="23" spans="1:8" hidden="1">
      <c r="F23" s="288">
        <f>F22-G22-H22</f>
        <v>1214500</v>
      </c>
      <c r="G23" s="288"/>
      <c r="H23" s="288"/>
    </row>
  </sheetData>
  <autoFilter ref="A1:F23" xr:uid="{2B937461-8344-45D8-B450-477B14E32147}">
    <filterColumn colId="3">
      <customFilters>
        <customFilter operator="notEqual" val=" "/>
      </customFilters>
    </filterColumn>
    <sortState xmlns:xlrd2="http://schemas.microsoft.com/office/spreadsheetml/2017/richdata2" ref="A2:F18">
      <sortCondition ref="B1:B20"/>
    </sortState>
  </autoFilter>
  <phoneticPr fontId="1" type="noConversion"/>
  <hyperlinks>
    <hyperlink ref="C11" r:id="rId1" display="https://m.place.naver.com/hairshop/1509576334/home" xr:uid="{347E0CB9-520C-40A0-A61F-9F2386ABBE4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3DE7-0B1E-4AF5-BE47-BB8278E08DB5}">
  <dimension ref="A1:AM122"/>
  <sheetViews>
    <sheetView topLeftCell="C1" zoomScale="85" zoomScaleNormal="85" workbookViewId="0">
      <pane ySplit="2" topLeftCell="A15" activePane="bottomLeft" state="frozen"/>
      <selection activeCell="D1" sqref="D1"/>
      <selection pane="bottomLeft" activeCell="Q61" sqref="Q61"/>
    </sheetView>
  </sheetViews>
  <sheetFormatPr defaultRowHeight="16.5"/>
  <cols>
    <col min="1" max="1" width="12.25" style="2" customWidth="1"/>
    <col min="2" max="2" width="10" customWidth="1"/>
    <col min="3" max="3" width="13.25" style="15" bestFit="1" customWidth="1"/>
    <col min="4" max="4" width="20.25" style="15" bestFit="1" customWidth="1"/>
    <col min="5" max="5" width="22" style="275" customWidth="1"/>
    <col min="6" max="7" width="7.625" customWidth="1"/>
    <col min="8" max="10" width="9" customWidth="1"/>
    <col min="11" max="14" width="7.625" customWidth="1"/>
    <col min="15" max="16" width="7.625" style="2" customWidth="1"/>
    <col min="17" max="17" width="9.25" style="2" customWidth="1"/>
    <col min="18" max="18" width="10.875" style="2" customWidth="1"/>
    <col min="19" max="19" width="8.875" style="15" customWidth="1"/>
    <col min="20" max="20" width="10" style="2" customWidth="1"/>
    <col min="21" max="21" width="9.25" style="2" customWidth="1"/>
    <col min="22" max="22" width="10" style="2" customWidth="1"/>
    <col min="23" max="23" width="8.25" style="15" bestFit="1" customWidth="1"/>
    <col min="24" max="24" width="8.25" style="15" customWidth="1"/>
    <col min="25" max="30" width="9" style="2"/>
    <col min="31" max="31" width="30.625" style="2" customWidth="1"/>
    <col min="32" max="33" width="20.25" style="15" customWidth="1"/>
    <col min="34" max="34" width="9" style="2" customWidth="1"/>
    <col min="35" max="35" width="9" style="2"/>
    <col min="36" max="37" width="15.125" style="15" customWidth="1"/>
    <col min="38" max="38" width="9" style="2" customWidth="1"/>
    <col min="39" max="39" width="9" style="2"/>
  </cols>
  <sheetData>
    <row r="1" spans="1:39" ht="36" customHeight="1" thickBot="1">
      <c r="A1" s="238" t="s">
        <v>568</v>
      </c>
      <c r="B1" s="238"/>
      <c r="F1" s="2"/>
      <c r="G1" s="2"/>
      <c r="H1" s="2"/>
      <c r="I1" s="2"/>
      <c r="J1" s="2"/>
      <c r="K1" s="2"/>
      <c r="L1" s="2"/>
      <c r="M1" s="2"/>
      <c r="N1" s="2"/>
      <c r="O1" s="15"/>
      <c r="T1" s="15"/>
      <c r="W1" s="2"/>
      <c r="X1" s="2"/>
      <c r="AB1" s="15"/>
      <c r="AC1" s="15"/>
      <c r="AD1" s="15"/>
      <c r="AE1" s="15"/>
      <c r="AF1" s="2"/>
      <c r="AG1" s="2"/>
      <c r="AH1"/>
      <c r="AI1"/>
      <c r="AJ1"/>
      <c r="AK1"/>
      <c r="AL1"/>
      <c r="AM1"/>
    </row>
    <row r="2" spans="1:39" s="270" customFormat="1" ht="23.25" customHeight="1" thickBot="1">
      <c r="A2" s="253" t="s">
        <v>505</v>
      </c>
      <c r="B2" s="254" t="s">
        <v>519</v>
      </c>
      <c r="C2" s="255" t="s">
        <v>427</v>
      </c>
      <c r="D2" s="256" t="s">
        <v>198</v>
      </c>
      <c r="E2" s="276" t="s">
        <v>426</v>
      </c>
      <c r="F2" s="258" t="s">
        <v>524</v>
      </c>
      <c r="G2" s="257" t="s">
        <v>75</v>
      </c>
      <c r="H2" s="255" t="s">
        <v>439</v>
      </c>
      <c r="I2" s="259" t="s">
        <v>567</v>
      </c>
      <c r="J2" s="259" t="s">
        <v>499</v>
      </c>
      <c r="K2" s="258" t="s">
        <v>498</v>
      </c>
      <c r="L2" s="259" t="s">
        <v>440</v>
      </c>
      <c r="M2" s="256" t="s">
        <v>371</v>
      </c>
      <c r="N2" s="256" t="s">
        <v>299</v>
      </c>
      <c r="O2" s="260" t="s">
        <v>300</v>
      </c>
      <c r="P2" s="258" t="s">
        <v>156</v>
      </c>
      <c r="Q2" s="261" t="s">
        <v>121</v>
      </c>
      <c r="R2" s="262" t="s">
        <v>54</v>
      </c>
      <c r="S2" s="263" t="s">
        <v>116</v>
      </c>
      <c r="T2" s="263" t="s">
        <v>339</v>
      </c>
      <c r="U2" s="264" t="s">
        <v>189</v>
      </c>
      <c r="V2" s="265" t="s">
        <v>53</v>
      </c>
      <c r="W2" s="266" t="s">
        <v>195</v>
      </c>
      <c r="X2" s="267" t="s">
        <v>375</v>
      </c>
      <c r="Y2" s="267" t="s">
        <v>376</v>
      </c>
      <c r="Z2" s="268" t="s">
        <v>196</v>
      </c>
      <c r="AA2" s="269" t="s">
        <v>197</v>
      </c>
      <c r="AB2" s="256" t="s">
        <v>378</v>
      </c>
      <c r="AC2" s="256" t="s">
        <v>361</v>
      </c>
      <c r="AD2" s="256" t="s">
        <v>159</v>
      </c>
      <c r="AE2" s="256" t="s">
        <v>11</v>
      </c>
      <c r="AF2" s="261" t="s">
        <v>199</v>
      </c>
      <c r="AG2" s="256"/>
    </row>
    <row r="3" spans="1:39" s="252" customFormat="1" ht="23.25" customHeight="1">
      <c r="A3" s="53" t="s">
        <v>507</v>
      </c>
      <c r="B3" s="248">
        <v>46001</v>
      </c>
      <c r="C3" s="53">
        <v>2064392403</v>
      </c>
      <c r="D3" s="53" t="s">
        <v>419</v>
      </c>
      <c r="E3" s="277" t="str">
        <f>"https://m.place.naver.com/place/" &amp;C3 &amp; "/home"</f>
        <v>https://m.place.naver.com/place/2064392403/home</v>
      </c>
      <c r="F3" s="53"/>
      <c r="G3" s="53">
        <v>200</v>
      </c>
      <c r="H3" s="53"/>
      <c r="I3" s="53"/>
      <c r="J3" s="53"/>
      <c r="K3" s="53"/>
      <c r="L3" s="53"/>
      <c r="M3" s="53"/>
      <c r="N3" s="53"/>
      <c r="O3" s="249"/>
      <c r="P3" s="53">
        <v>100</v>
      </c>
      <c r="Q3" s="53"/>
      <c r="R3" s="250"/>
      <c r="S3" s="236"/>
      <c r="T3" s="237"/>
      <c r="U3" s="250"/>
      <c r="V3" s="250"/>
      <c r="W3" s="251"/>
      <c r="X3" s="251"/>
      <c r="Y3" s="251"/>
      <c r="Z3" s="251"/>
      <c r="AA3" s="251"/>
      <c r="AB3" s="53"/>
      <c r="AC3" s="53"/>
      <c r="AD3" s="53"/>
      <c r="AE3" s="53"/>
      <c r="AF3" s="53"/>
      <c r="AG3" s="53"/>
    </row>
    <row r="4" spans="1:39" s="116" customFormat="1" ht="23.25" customHeight="1">
      <c r="A4" s="14"/>
      <c r="B4" s="14"/>
      <c r="C4" s="14"/>
      <c r="D4" s="14"/>
      <c r="E4" s="278"/>
      <c r="F4" s="14"/>
      <c r="G4" s="14"/>
      <c r="H4" s="14"/>
      <c r="I4" s="14"/>
      <c r="J4" s="14"/>
      <c r="K4" s="14"/>
      <c r="L4" s="14"/>
      <c r="M4" s="14"/>
      <c r="N4" s="14"/>
      <c r="O4" s="241"/>
      <c r="P4" s="14"/>
      <c r="Q4" s="14"/>
      <c r="R4" s="242"/>
      <c r="S4" s="215"/>
      <c r="T4" s="216"/>
      <c r="U4" s="242"/>
      <c r="V4" s="242"/>
      <c r="W4" s="243"/>
      <c r="X4" s="243"/>
      <c r="Y4" s="243"/>
      <c r="Z4" s="243"/>
      <c r="AA4" s="243"/>
      <c r="AB4" s="244"/>
      <c r="AC4" s="244"/>
      <c r="AD4" s="14"/>
      <c r="AE4" s="14"/>
      <c r="AF4" s="14"/>
      <c r="AG4" s="14"/>
    </row>
    <row r="5" spans="1:39" s="116" customFormat="1" ht="23.25" customHeight="1">
      <c r="A5" s="14"/>
      <c r="B5" s="239"/>
      <c r="C5" s="14">
        <v>1173433139</v>
      </c>
      <c r="D5" s="14" t="s">
        <v>442</v>
      </c>
      <c r="E5" s="278" t="str">
        <f>"https://m.place.naver.com/place/" &amp;C5 &amp; "/home"</f>
        <v>https://m.place.naver.com/place/1173433139/home</v>
      </c>
      <c r="F5" s="14">
        <v>100</v>
      </c>
      <c r="G5" s="14"/>
      <c r="H5" s="14"/>
      <c r="I5" s="14"/>
      <c r="J5" s="14"/>
      <c r="K5" s="14"/>
      <c r="L5" s="14"/>
      <c r="M5" s="14"/>
      <c r="N5" s="14"/>
      <c r="O5" s="241"/>
      <c r="P5" s="14">
        <v>100</v>
      </c>
      <c r="Q5" s="14"/>
      <c r="R5" s="242"/>
      <c r="S5" s="215"/>
      <c r="T5" s="216"/>
      <c r="U5" s="242"/>
      <c r="V5" s="242"/>
      <c r="W5" s="243"/>
      <c r="X5" s="243"/>
      <c r="Y5" s="243"/>
      <c r="Z5" s="243"/>
      <c r="AA5" s="243"/>
      <c r="AB5" s="244"/>
      <c r="AC5" s="244"/>
      <c r="AD5" s="14"/>
      <c r="AE5" s="14"/>
      <c r="AF5" s="14"/>
      <c r="AG5" s="14"/>
    </row>
    <row r="6" spans="1:39" s="116" customFormat="1" ht="20.100000000000001" customHeight="1">
      <c r="A6" s="14"/>
      <c r="C6" s="14">
        <v>36399674</v>
      </c>
      <c r="D6" s="14" t="s">
        <v>73</v>
      </c>
      <c r="E6" s="278" t="str">
        <f>"https://m.place.naver.com/place/" &amp;C6 &amp; "/home"</f>
        <v>https://m.place.naver.com/place/36399674/home</v>
      </c>
      <c r="F6" s="14"/>
      <c r="G6" s="14"/>
      <c r="H6" s="14">
        <v>150</v>
      </c>
      <c r="I6" s="14"/>
      <c r="J6" s="14"/>
      <c r="K6" s="14"/>
      <c r="L6" s="14"/>
      <c r="M6" s="14"/>
      <c r="N6" s="14"/>
      <c r="O6" s="241"/>
      <c r="P6" s="14">
        <v>100</v>
      </c>
      <c r="Q6" s="14"/>
      <c r="R6" s="14"/>
      <c r="S6" s="14"/>
      <c r="T6" s="14"/>
      <c r="U6" s="14"/>
      <c r="V6" s="14"/>
      <c r="W6" s="243"/>
      <c r="X6" s="243"/>
      <c r="Y6" s="243"/>
      <c r="Z6" s="243"/>
      <c r="AA6" s="243"/>
      <c r="AB6" s="244"/>
      <c r="AC6" s="244"/>
      <c r="AD6" s="14"/>
      <c r="AE6" s="14"/>
      <c r="AF6" s="14"/>
      <c r="AG6" s="14"/>
    </row>
    <row r="8" spans="1:39" s="116" customFormat="1" ht="20.100000000000001" customHeight="1">
      <c r="A8" s="14"/>
      <c r="C8" s="14">
        <v>1773775267</v>
      </c>
      <c r="D8" s="14" t="s">
        <v>421</v>
      </c>
      <c r="E8" s="278" t="str">
        <f t="shared" ref="E8:E18" si="0">"https://m.place.naver.com/place/" &amp;C8 &amp; "/home"</f>
        <v>https://m.place.naver.com/place/1773775267/home</v>
      </c>
      <c r="F8" s="14"/>
      <c r="G8" s="14">
        <v>200</v>
      </c>
      <c r="H8" s="14"/>
      <c r="I8" s="14"/>
      <c r="J8" s="14"/>
      <c r="K8" s="14"/>
      <c r="L8" s="14"/>
      <c r="M8" s="14"/>
      <c r="N8" s="14"/>
      <c r="O8" s="241"/>
      <c r="P8" s="14"/>
      <c r="Q8" s="14"/>
      <c r="R8" s="14"/>
      <c r="S8" s="14"/>
      <c r="T8" s="14"/>
      <c r="U8" s="14"/>
      <c r="V8" s="14"/>
      <c r="W8" s="243"/>
      <c r="X8" s="243"/>
      <c r="Y8" s="243"/>
      <c r="Z8" s="243"/>
      <c r="AA8" s="243"/>
      <c r="AB8" s="14"/>
      <c r="AC8" s="14"/>
      <c r="AD8" s="14"/>
      <c r="AE8" s="14"/>
      <c r="AF8" s="14"/>
      <c r="AG8" s="14"/>
    </row>
    <row r="9" spans="1:39" s="116" customFormat="1" ht="20.100000000000001" customHeight="1">
      <c r="A9" s="14"/>
      <c r="C9" s="14">
        <v>2047453115</v>
      </c>
      <c r="D9" s="14" t="s">
        <v>423</v>
      </c>
      <c r="E9" s="278" t="str">
        <f t="shared" si="0"/>
        <v>https://m.place.naver.com/place/2047453115/home</v>
      </c>
      <c r="F9" s="14"/>
      <c r="G9" s="14"/>
      <c r="H9" s="14"/>
      <c r="I9" s="14"/>
      <c r="J9" s="14"/>
      <c r="K9" s="14"/>
      <c r="L9" s="14"/>
      <c r="M9" s="14"/>
      <c r="N9" s="14"/>
      <c r="O9" s="241"/>
      <c r="P9" s="14"/>
      <c r="Q9" s="14"/>
      <c r="R9" s="14"/>
      <c r="S9" s="14"/>
      <c r="T9" s="14"/>
      <c r="U9" s="14"/>
      <c r="V9" s="14"/>
      <c r="W9" s="243"/>
      <c r="X9" s="243"/>
      <c r="Y9" s="243"/>
      <c r="Z9" s="243"/>
      <c r="AA9" s="243"/>
      <c r="AB9" s="14"/>
      <c r="AC9" s="14"/>
      <c r="AD9" s="14"/>
      <c r="AE9" s="14"/>
      <c r="AF9" s="14"/>
      <c r="AG9" s="14"/>
    </row>
    <row r="10" spans="1:39" s="116" customFormat="1" ht="20.100000000000001" customHeight="1">
      <c r="A10" s="14"/>
      <c r="C10" s="14">
        <v>1138528583</v>
      </c>
      <c r="D10" s="14" t="s">
        <v>175</v>
      </c>
      <c r="E10" s="278" t="str">
        <f t="shared" si="0"/>
        <v>https://m.place.naver.com/place/1138528583/home</v>
      </c>
      <c r="F10" s="14"/>
      <c r="G10" s="14">
        <v>800</v>
      </c>
      <c r="H10" s="14"/>
      <c r="I10" s="14"/>
      <c r="J10" s="14"/>
      <c r="K10" s="14"/>
      <c r="L10" s="14"/>
      <c r="M10" s="14"/>
      <c r="N10" s="14"/>
      <c r="O10" s="241"/>
      <c r="P10" s="14"/>
      <c r="Q10" s="14">
        <v>200</v>
      </c>
      <c r="R10" s="14"/>
      <c r="S10" s="14"/>
      <c r="T10" s="14"/>
      <c r="U10" s="14"/>
      <c r="V10" s="14"/>
      <c r="W10" s="243"/>
      <c r="X10" s="243"/>
      <c r="Y10" s="243"/>
      <c r="Z10" s="243"/>
      <c r="AA10" s="243"/>
      <c r="AB10" s="14"/>
      <c r="AC10" s="14"/>
      <c r="AD10" s="14"/>
      <c r="AE10" s="14"/>
      <c r="AF10" s="14"/>
      <c r="AG10" s="14"/>
    </row>
    <row r="11" spans="1:39" s="4" customFormat="1" ht="20.100000000000001" customHeight="1">
      <c r="A11" s="14"/>
      <c r="B11" s="116"/>
      <c r="C11" s="14">
        <v>1374995918</v>
      </c>
      <c r="D11" s="14" t="s">
        <v>409</v>
      </c>
      <c r="E11" s="278" t="str">
        <f t="shared" si="0"/>
        <v>https://m.place.naver.com/place/1374995918/home</v>
      </c>
      <c r="F11" s="14">
        <v>150</v>
      </c>
      <c r="G11" s="14"/>
      <c r="H11" s="14">
        <v>100</v>
      </c>
      <c r="I11" s="14"/>
      <c r="J11" s="14"/>
      <c r="K11" s="14"/>
      <c r="L11" s="14"/>
      <c r="M11" s="14"/>
      <c r="N11" s="14"/>
      <c r="O11" s="241"/>
      <c r="P11" s="39"/>
      <c r="Q11" s="280">
        <v>100</v>
      </c>
      <c r="R11" s="14"/>
      <c r="S11" s="14"/>
      <c r="T11" s="14"/>
      <c r="U11" s="5"/>
      <c r="V11" s="5"/>
      <c r="W11" s="243"/>
      <c r="X11" s="243"/>
      <c r="Y11" s="243"/>
      <c r="Z11" s="243"/>
      <c r="AA11" s="243"/>
      <c r="AB11" s="14"/>
      <c r="AC11" s="14"/>
      <c r="AD11" s="14"/>
      <c r="AE11" s="14"/>
      <c r="AF11" s="14"/>
      <c r="AG11" s="5"/>
    </row>
    <row r="12" spans="1:39" s="116" customFormat="1" ht="20.100000000000001" customHeight="1">
      <c r="A12" s="14"/>
      <c r="C12" s="14">
        <v>1382904718</v>
      </c>
      <c r="D12" s="14" t="s">
        <v>403</v>
      </c>
      <c r="E12" s="278" t="str">
        <f t="shared" si="0"/>
        <v>https://m.place.naver.com/place/1382904718/home</v>
      </c>
      <c r="F12" s="14">
        <v>150</v>
      </c>
      <c r="G12" s="14"/>
      <c r="H12" s="14"/>
      <c r="I12" s="14"/>
      <c r="J12" s="14"/>
      <c r="K12" s="14"/>
      <c r="L12" s="14"/>
      <c r="M12" s="14"/>
      <c r="N12" s="14"/>
      <c r="O12" s="241"/>
      <c r="P12" s="14"/>
      <c r="Q12" s="14"/>
      <c r="R12" s="14"/>
      <c r="S12" s="14"/>
      <c r="T12" s="14"/>
      <c r="U12" s="14"/>
      <c r="V12" s="14"/>
      <c r="W12" s="243"/>
      <c r="X12" s="243"/>
      <c r="Y12" s="243"/>
      <c r="Z12" s="243"/>
      <c r="AA12" s="243"/>
      <c r="AB12" s="14"/>
      <c r="AC12" s="14"/>
      <c r="AD12" s="14"/>
      <c r="AE12" s="14"/>
      <c r="AF12" s="14"/>
      <c r="AG12" s="14"/>
    </row>
    <row r="13" spans="1:39" s="116" customFormat="1" ht="20.100000000000001" customHeight="1">
      <c r="A13" s="14"/>
      <c r="C13" s="14">
        <v>1024294111</v>
      </c>
      <c r="D13" s="14" t="s">
        <v>407</v>
      </c>
      <c r="E13" s="278" t="str">
        <f t="shared" si="0"/>
        <v>https://m.place.naver.com/place/1024294111/home</v>
      </c>
      <c r="F13" s="14"/>
      <c r="G13" s="14"/>
      <c r="H13" s="14"/>
      <c r="I13" s="14"/>
      <c r="J13" s="14"/>
      <c r="K13" s="14"/>
      <c r="L13" s="14"/>
      <c r="M13" s="14"/>
      <c r="N13" s="14"/>
      <c r="O13" s="241"/>
      <c r="P13" s="14"/>
      <c r="Q13" s="14"/>
      <c r="R13" s="14"/>
      <c r="S13" s="14"/>
      <c r="T13" s="14"/>
      <c r="U13" s="14"/>
      <c r="V13" s="14"/>
      <c r="W13" s="243"/>
      <c r="X13" s="243"/>
      <c r="Y13" s="243"/>
      <c r="Z13" s="243"/>
      <c r="AA13" s="243"/>
      <c r="AB13" s="14"/>
      <c r="AC13" s="14"/>
      <c r="AD13" s="14"/>
      <c r="AE13" s="14"/>
      <c r="AF13" s="14"/>
      <c r="AG13" s="14"/>
    </row>
    <row r="14" spans="1:39" s="116" customFormat="1" ht="20.100000000000001" customHeight="1">
      <c r="A14" s="14"/>
      <c r="C14" s="14">
        <v>2044480569</v>
      </c>
      <c r="D14" s="14" t="s">
        <v>405</v>
      </c>
      <c r="E14" s="278" t="str">
        <f t="shared" si="0"/>
        <v>https://m.place.naver.com/place/2044480569/home</v>
      </c>
      <c r="F14" s="14">
        <v>200</v>
      </c>
      <c r="G14" s="14"/>
      <c r="H14" s="14"/>
      <c r="I14" s="14"/>
      <c r="J14" s="14"/>
      <c r="K14" s="14"/>
      <c r="L14" s="14"/>
      <c r="M14" s="14"/>
      <c r="N14" s="14"/>
      <c r="O14" s="241"/>
      <c r="P14" s="14"/>
      <c r="Q14" s="14"/>
      <c r="R14" s="14"/>
      <c r="S14" s="14"/>
      <c r="T14" s="14"/>
      <c r="U14" s="14"/>
      <c r="V14" s="14"/>
      <c r="W14" s="243"/>
      <c r="X14" s="243"/>
      <c r="Y14" s="243"/>
      <c r="Z14" s="243"/>
      <c r="AA14" s="243"/>
      <c r="AB14" s="4"/>
      <c r="AC14" s="245"/>
      <c r="AD14" s="14"/>
      <c r="AE14" s="14"/>
      <c r="AF14" s="14"/>
      <c r="AG14" s="14"/>
    </row>
    <row r="15" spans="1:39" s="116" customFormat="1" ht="20.100000000000001" customHeight="1">
      <c r="A15" s="14"/>
      <c r="C15" s="14">
        <v>1012331030</v>
      </c>
      <c r="D15" s="14" t="s">
        <v>444</v>
      </c>
      <c r="E15" s="278" t="str">
        <f t="shared" si="0"/>
        <v>https://m.place.naver.com/place/1012331030/home</v>
      </c>
      <c r="F15" s="14">
        <v>100</v>
      </c>
      <c r="G15" s="14"/>
      <c r="H15" s="14"/>
      <c r="I15" s="14"/>
      <c r="J15" s="14"/>
      <c r="K15" s="14"/>
      <c r="L15" s="14"/>
      <c r="M15" s="14"/>
      <c r="N15" s="14"/>
      <c r="O15" s="241"/>
      <c r="P15" s="14"/>
      <c r="Q15" s="14"/>
      <c r="R15" s="14"/>
      <c r="S15" s="14"/>
      <c r="T15" s="14"/>
      <c r="U15" s="14"/>
      <c r="V15" s="14"/>
      <c r="W15" s="243"/>
      <c r="X15" s="243"/>
      <c r="Y15" s="243"/>
      <c r="Z15" s="243"/>
      <c r="AA15" s="243"/>
      <c r="AB15" s="14"/>
      <c r="AC15" s="246"/>
      <c r="AD15" s="14"/>
      <c r="AE15" s="14"/>
      <c r="AF15" s="14"/>
      <c r="AG15" s="14"/>
    </row>
    <row r="16" spans="1:39" s="116" customFormat="1" ht="20.100000000000001" customHeight="1">
      <c r="A16" s="14"/>
      <c r="C16" s="14"/>
      <c r="D16" s="14"/>
      <c r="E16" s="278"/>
      <c r="F16" s="14"/>
      <c r="G16" s="14"/>
      <c r="H16" s="14"/>
      <c r="I16" s="14"/>
      <c r="J16" s="14"/>
      <c r="K16" s="14"/>
      <c r="L16" s="14"/>
      <c r="M16" s="14"/>
      <c r="N16" s="14"/>
      <c r="O16" s="241"/>
      <c r="P16" s="14"/>
      <c r="Q16" s="14"/>
      <c r="R16" s="14"/>
      <c r="S16" s="14"/>
      <c r="T16" s="14"/>
      <c r="U16" s="14"/>
      <c r="V16" s="14"/>
      <c r="W16" s="243"/>
      <c r="X16" s="243"/>
      <c r="Y16" s="243"/>
      <c r="Z16" s="243"/>
      <c r="AA16" s="243"/>
      <c r="AB16" s="244"/>
      <c r="AC16" s="244"/>
      <c r="AD16" s="14"/>
      <c r="AE16" s="14"/>
      <c r="AF16" s="14"/>
      <c r="AG16" s="14"/>
    </row>
    <row r="17" spans="1:33" s="116" customFormat="1" ht="20.100000000000001" customHeight="1">
      <c r="A17" s="14"/>
      <c r="C17" s="14">
        <v>1409613427</v>
      </c>
      <c r="D17" s="14" t="s">
        <v>185</v>
      </c>
      <c r="E17" s="278" t="str">
        <f t="shared" si="0"/>
        <v>https://m.place.naver.com/place/1409613427/home</v>
      </c>
      <c r="F17" s="14">
        <v>100</v>
      </c>
      <c r="G17" s="14"/>
      <c r="H17" s="14">
        <v>100</v>
      </c>
      <c r="I17" s="14"/>
      <c r="J17" s="14"/>
      <c r="K17" s="14"/>
      <c r="L17" s="14"/>
      <c r="M17" s="14"/>
      <c r="N17" s="14"/>
      <c r="O17" s="241">
        <v>100</v>
      </c>
      <c r="P17" s="14">
        <v>100</v>
      </c>
      <c r="Q17" s="14"/>
      <c r="R17" s="14"/>
      <c r="S17" s="14"/>
      <c r="T17" s="14"/>
      <c r="U17" s="14"/>
      <c r="V17" s="14"/>
      <c r="W17" s="243"/>
      <c r="X17" s="243"/>
      <c r="Y17" s="243"/>
      <c r="Z17" s="243"/>
      <c r="AA17" s="243"/>
      <c r="AB17" s="14"/>
      <c r="AC17" s="14"/>
      <c r="AD17" s="14"/>
      <c r="AE17" s="14"/>
      <c r="AF17" s="14"/>
      <c r="AG17" s="14"/>
    </row>
    <row r="18" spans="1:33" s="116" customFormat="1" ht="20.100000000000001" customHeight="1">
      <c r="A18" s="14"/>
      <c r="C18" s="14">
        <v>36073217</v>
      </c>
      <c r="D18" s="14" t="s">
        <v>400</v>
      </c>
      <c r="E18" s="278" t="str">
        <f t="shared" si="0"/>
        <v>https://m.place.naver.com/place/36073217/home</v>
      </c>
      <c r="F18" s="14"/>
      <c r="G18" s="14"/>
      <c r="H18" s="14"/>
      <c r="I18" s="14"/>
      <c r="J18" s="14"/>
      <c r="K18" s="14"/>
      <c r="L18" s="14"/>
      <c r="M18" s="14"/>
      <c r="N18" s="14"/>
      <c r="O18" s="241"/>
      <c r="P18" s="14"/>
      <c r="Q18" s="14"/>
      <c r="R18" s="14"/>
      <c r="S18" s="14"/>
      <c r="T18" s="14"/>
      <c r="U18" s="14"/>
      <c r="V18" s="14"/>
      <c r="W18" s="243"/>
      <c r="X18" s="243"/>
      <c r="Y18" s="243"/>
      <c r="Z18" s="243"/>
      <c r="AA18" s="243"/>
      <c r="AB18" s="14"/>
      <c r="AC18" s="14"/>
      <c r="AD18" s="14"/>
      <c r="AE18" s="14"/>
      <c r="AF18" s="14"/>
      <c r="AG18" s="14"/>
    </row>
    <row r="19" spans="1:33" s="116" customFormat="1" ht="20.100000000000001" customHeight="1">
      <c r="A19" s="14"/>
      <c r="C19" s="14"/>
      <c r="D19" s="14"/>
      <c r="E19" s="278"/>
      <c r="F19" s="14"/>
      <c r="G19" s="14"/>
      <c r="H19" s="14"/>
      <c r="I19" s="14"/>
      <c r="J19" s="14"/>
      <c r="K19" s="14"/>
      <c r="L19" s="14"/>
      <c r="M19" s="14"/>
      <c r="N19" s="14"/>
      <c r="O19" s="241"/>
      <c r="P19" s="14"/>
      <c r="Q19" s="14"/>
      <c r="R19" s="14"/>
      <c r="S19" s="14"/>
      <c r="T19" s="14"/>
      <c r="U19" s="14"/>
      <c r="V19" s="14"/>
      <c r="W19" s="243"/>
      <c r="X19" s="243"/>
      <c r="Y19" s="243"/>
      <c r="Z19" s="243"/>
      <c r="AA19" s="243"/>
      <c r="AB19" s="244"/>
      <c r="AC19" s="244"/>
      <c r="AD19" s="14"/>
      <c r="AE19" s="14"/>
      <c r="AF19" s="14"/>
      <c r="AG19" s="14"/>
    </row>
    <row r="20" spans="1:33" s="116" customFormat="1" ht="19.5" customHeight="1">
      <c r="A20" s="14"/>
      <c r="C20">
        <v>1839268518</v>
      </c>
      <c r="D20" t="s">
        <v>391</v>
      </c>
      <c r="E20" t="s">
        <v>392</v>
      </c>
      <c r="F20" s="14"/>
      <c r="G20" s="14"/>
      <c r="H20" s="14"/>
      <c r="I20" s="14"/>
      <c r="J20" s="14"/>
      <c r="K20" s="14"/>
      <c r="L20">
        <v>100</v>
      </c>
      <c r="M20" s="14"/>
      <c r="N20" s="14"/>
      <c r="O20" s="241"/>
      <c r="P20" s="14"/>
      <c r="Q20" s="14"/>
      <c r="R20" s="14"/>
      <c r="S20" s="14"/>
      <c r="T20" s="14"/>
      <c r="U20" s="14"/>
      <c r="V20" s="14"/>
      <c r="W20" s="243"/>
      <c r="X20" s="243"/>
      <c r="Y20" s="243"/>
      <c r="Z20" s="243"/>
      <c r="AA20" s="243"/>
      <c r="AB20" s="244"/>
      <c r="AC20" s="244"/>
      <c r="AD20" s="14"/>
      <c r="AE20" s="14"/>
      <c r="AF20" s="14"/>
      <c r="AG20" s="14"/>
    </row>
    <row r="21" spans="1:33" s="116" customFormat="1" ht="20.100000000000001" customHeight="1">
      <c r="A21" s="14"/>
      <c r="C21">
        <v>1509576334</v>
      </c>
      <c r="D21" t="s">
        <v>575</v>
      </c>
      <c r="E21" t="s">
        <v>531</v>
      </c>
      <c r="F21" s="14"/>
      <c r="G21" s="14"/>
      <c r="H21" s="14"/>
      <c r="I21" s="14"/>
      <c r="J21" s="14"/>
      <c r="K21" s="14"/>
      <c r="L21">
        <v>200</v>
      </c>
      <c r="M21" s="14"/>
      <c r="N21" s="14"/>
      <c r="O21" s="241"/>
      <c r="P21" s="14"/>
      <c r="Q21" s="14"/>
      <c r="R21" s="14"/>
      <c r="S21" s="14"/>
      <c r="T21" s="14"/>
      <c r="U21" s="14"/>
      <c r="V21" s="14"/>
      <c r="W21" s="243"/>
      <c r="X21" s="243"/>
      <c r="Y21" s="243"/>
      <c r="Z21" s="243"/>
      <c r="AA21" s="243"/>
      <c r="AB21" s="244"/>
      <c r="AC21" s="244"/>
      <c r="AD21" s="14"/>
      <c r="AE21" s="14"/>
      <c r="AF21" s="14"/>
      <c r="AG21" s="14"/>
    </row>
    <row r="22" spans="1:33" s="116" customFormat="1" ht="20.100000000000001" customHeight="1">
      <c r="A22" s="14"/>
      <c r="C22">
        <v>1632138788</v>
      </c>
      <c r="D22" t="s">
        <v>559</v>
      </c>
      <c r="E22" t="s">
        <v>530</v>
      </c>
      <c r="F22" s="14"/>
      <c r="G22" s="14"/>
      <c r="H22" s="14"/>
      <c r="I22" s="14"/>
      <c r="J22" s="14"/>
      <c r="K22" s="14"/>
      <c r="L22">
        <v>100</v>
      </c>
      <c r="M22" s="14"/>
      <c r="N22" s="14"/>
      <c r="O22" s="241"/>
      <c r="P22" s="14"/>
      <c r="Q22" s="14"/>
      <c r="R22" s="14"/>
      <c r="S22" s="14"/>
      <c r="T22" s="14"/>
      <c r="U22" s="14"/>
      <c r="V22" s="14"/>
      <c r="W22" s="243"/>
      <c r="X22" s="243"/>
      <c r="Y22" s="243"/>
      <c r="Z22" s="243"/>
      <c r="AA22" s="243"/>
      <c r="AB22" s="244"/>
      <c r="AC22" s="244"/>
      <c r="AD22" s="14"/>
      <c r="AE22" s="14"/>
      <c r="AF22" s="14"/>
      <c r="AG22" s="14"/>
    </row>
    <row r="23" spans="1:33" s="116" customFormat="1" ht="20.100000000000001" customHeight="1">
      <c r="A23" s="14"/>
      <c r="C23">
        <v>1872013382</v>
      </c>
      <c r="D23" t="s">
        <v>449</v>
      </c>
      <c r="E23" t="s">
        <v>547</v>
      </c>
      <c r="F23" s="14"/>
      <c r="G23" s="14"/>
      <c r="H23" s="14"/>
      <c r="I23" s="14"/>
      <c r="J23" s="14"/>
      <c r="K23" s="14"/>
      <c r="L23">
        <v>100</v>
      </c>
      <c r="M23" s="14"/>
      <c r="N23" s="14"/>
      <c r="O23" s="241"/>
      <c r="P23" s="14"/>
      <c r="Q23" s="14"/>
      <c r="R23" s="14"/>
      <c r="S23" s="14"/>
      <c r="T23" s="14"/>
      <c r="U23" s="14"/>
      <c r="V23" s="14"/>
      <c r="W23" s="243"/>
      <c r="X23" s="243"/>
      <c r="Y23" s="243"/>
      <c r="Z23" s="243"/>
      <c r="AA23" s="243"/>
      <c r="AB23" s="244"/>
      <c r="AC23" s="244"/>
      <c r="AD23" s="14"/>
      <c r="AE23" s="14"/>
      <c r="AF23" s="14"/>
      <c r="AG23" s="14"/>
    </row>
    <row r="24" spans="1:33" s="116" customFormat="1" ht="20.100000000000001" customHeight="1">
      <c r="A24" s="14"/>
      <c r="C24">
        <v>1287821286</v>
      </c>
      <c r="D24" t="s">
        <v>555</v>
      </c>
      <c r="E24" t="s">
        <v>265</v>
      </c>
      <c r="F24" s="14"/>
      <c r="G24" s="14"/>
      <c r="H24" s="14"/>
      <c r="I24" s="14"/>
      <c r="J24" s="14"/>
      <c r="K24" s="14"/>
      <c r="L24">
        <v>200</v>
      </c>
      <c r="M24" s="14"/>
      <c r="N24" s="14"/>
      <c r="O24" s="241"/>
      <c r="P24" s="14"/>
      <c r="Q24" s="14"/>
      <c r="R24" s="14"/>
      <c r="S24" s="14"/>
      <c r="T24" s="14"/>
      <c r="U24" s="14"/>
      <c r="V24" s="14"/>
      <c r="W24" s="243"/>
      <c r="X24" s="243"/>
      <c r="Y24" s="243"/>
      <c r="Z24" s="243"/>
      <c r="AA24" s="243"/>
      <c r="AB24" s="244"/>
      <c r="AC24" s="244"/>
      <c r="AD24" s="14"/>
      <c r="AE24" s="14"/>
      <c r="AF24" s="14"/>
      <c r="AG24" s="14"/>
    </row>
    <row r="25" spans="1:33" s="116" customFormat="1" ht="20.100000000000001" customHeight="1">
      <c r="A25" s="14"/>
      <c r="C25">
        <v>1201249206</v>
      </c>
      <c r="D25" t="s">
        <v>352</v>
      </c>
      <c r="E25" t="s">
        <v>394</v>
      </c>
      <c r="F25" s="14"/>
      <c r="G25" s="14"/>
      <c r="H25" s="14"/>
      <c r="I25" s="14"/>
      <c r="J25" s="14"/>
      <c r="K25" s="14"/>
      <c r="L25">
        <v>200</v>
      </c>
      <c r="M25" s="14"/>
      <c r="N25" s="14"/>
      <c r="O25" s="241"/>
      <c r="P25" s="14"/>
      <c r="Q25" s="14"/>
      <c r="R25" s="14"/>
      <c r="S25" s="14"/>
      <c r="T25" s="14"/>
      <c r="U25" s="14"/>
      <c r="V25" s="14"/>
      <c r="W25" s="243"/>
      <c r="X25" s="243"/>
      <c r="Y25" s="243"/>
      <c r="Z25" s="243"/>
      <c r="AA25" s="243"/>
      <c r="AB25" s="244"/>
      <c r="AC25" s="244"/>
      <c r="AD25" s="14"/>
      <c r="AE25" s="14"/>
      <c r="AF25" s="14"/>
      <c r="AG25" s="14"/>
    </row>
    <row r="26" spans="1:33" s="116" customFormat="1" ht="20.100000000000001" customHeight="1">
      <c r="A26" s="14"/>
      <c r="C26">
        <v>32507602</v>
      </c>
      <c r="D26" t="s">
        <v>576</v>
      </c>
      <c r="E26" s="201" t="s">
        <v>577</v>
      </c>
      <c r="F26" s="14"/>
      <c r="G26" s="14"/>
      <c r="H26" s="14"/>
      <c r="I26" s="14"/>
      <c r="J26" s="14"/>
      <c r="K26" s="14"/>
      <c r="L26">
        <v>100</v>
      </c>
      <c r="M26" s="14"/>
      <c r="N26" s="14"/>
      <c r="O26" s="241"/>
      <c r="P26" s="14"/>
      <c r="Q26" s="14"/>
      <c r="R26" s="14"/>
      <c r="S26" s="14"/>
      <c r="T26" s="14"/>
      <c r="U26" s="14"/>
      <c r="V26" s="14"/>
      <c r="W26" s="243"/>
      <c r="X26" s="243"/>
      <c r="Y26" s="243"/>
      <c r="Z26" s="243"/>
      <c r="AA26" s="243"/>
      <c r="AB26" s="244"/>
      <c r="AC26" s="244"/>
      <c r="AD26" s="14"/>
      <c r="AE26" s="14"/>
      <c r="AF26" s="14"/>
      <c r="AG26" s="14"/>
    </row>
    <row r="27" spans="1:33" s="271" customFormat="1" ht="20.100000000000001" customHeight="1">
      <c r="A27" s="272"/>
      <c r="C27" s="272"/>
      <c r="D27" s="272"/>
      <c r="E27" s="279"/>
      <c r="F27" s="272"/>
      <c r="G27" s="272"/>
      <c r="H27" s="272"/>
      <c r="I27" s="272"/>
      <c r="J27" s="272"/>
      <c r="K27" s="272"/>
      <c r="L27" s="272"/>
      <c r="M27" s="272"/>
      <c r="N27" s="272"/>
      <c r="O27" s="273"/>
      <c r="P27" s="272"/>
      <c r="Q27" s="272"/>
      <c r="R27" s="272"/>
      <c r="S27" s="272"/>
      <c r="T27" s="272"/>
      <c r="U27" s="272"/>
      <c r="V27" s="272"/>
      <c r="W27" s="274"/>
      <c r="X27" s="274"/>
      <c r="Y27" s="274"/>
      <c r="Z27" s="274"/>
      <c r="AA27" s="274"/>
      <c r="AB27" s="272"/>
      <c r="AC27" s="272"/>
      <c r="AD27" s="272"/>
      <c r="AE27" s="272"/>
      <c r="AF27" s="272"/>
      <c r="AG27" s="272"/>
    </row>
    <row r="28" spans="1:33" s="116" customFormat="1" ht="20.100000000000001" customHeight="1">
      <c r="A28" s="14"/>
      <c r="B28" s="284">
        <v>45996</v>
      </c>
      <c r="C28" s="14"/>
      <c r="D28" s="14"/>
      <c r="E28" s="282"/>
      <c r="F28" s="14"/>
      <c r="G28" s="14"/>
      <c r="H28" s="14"/>
      <c r="I28" s="14"/>
      <c r="J28" s="14"/>
      <c r="K28" s="14"/>
      <c r="L28" s="14"/>
      <c r="M28" s="14"/>
      <c r="N28" s="14"/>
      <c r="O28" s="241"/>
      <c r="P28" s="14"/>
      <c r="Q28" s="14"/>
      <c r="R28" s="14"/>
      <c r="S28" s="14"/>
      <c r="T28" s="14"/>
      <c r="U28" s="14"/>
      <c r="V28" s="14"/>
      <c r="W28" s="243"/>
      <c r="X28" s="243"/>
      <c r="Y28" s="243"/>
      <c r="Z28" s="243"/>
      <c r="AA28" s="243"/>
      <c r="AB28" s="14"/>
      <c r="AC28" s="14"/>
      <c r="AD28" s="14"/>
      <c r="AE28" s="14"/>
      <c r="AF28" s="14"/>
      <c r="AG28" s="14"/>
    </row>
    <row r="29" spans="1:33" s="116" customFormat="1" ht="20.100000000000001" customHeight="1">
      <c r="A29" s="14"/>
      <c r="B29" s="284"/>
      <c r="C29" s="14">
        <v>1091056146</v>
      </c>
      <c r="D29" s="14" t="s">
        <v>515</v>
      </c>
      <c r="E29" s="282" t="s">
        <v>552</v>
      </c>
      <c r="F29" s="14">
        <v>200</v>
      </c>
      <c r="G29" s="14"/>
      <c r="H29" s="14"/>
      <c r="I29" s="14"/>
      <c r="J29" s="14"/>
      <c r="K29" s="14"/>
      <c r="L29" s="14"/>
      <c r="M29" s="14"/>
      <c r="N29" s="14"/>
      <c r="O29" s="241"/>
      <c r="P29" s="14"/>
      <c r="Q29" s="14"/>
      <c r="R29" s="14"/>
      <c r="S29" s="14"/>
      <c r="T29" s="14"/>
      <c r="U29" s="14"/>
      <c r="V29" s="14"/>
      <c r="W29" s="243"/>
      <c r="X29" s="243"/>
      <c r="Y29" s="243"/>
      <c r="Z29" s="243"/>
      <c r="AA29" s="243"/>
      <c r="AB29" s="14"/>
      <c r="AC29" s="14"/>
      <c r="AD29" s="14"/>
      <c r="AE29" s="14"/>
      <c r="AF29" s="14"/>
      <c r="AG29" s="14"/>
    </row>
    <row r="30" spans="1:33" s="116" customFormat="1" ht="20.100000000000001" customHeight="1">
      <c r="A30" s="14"/>
      <c r="C30" s="14">
        <v>36536114</v>
      </c>
      <c r="D30" s="14" t="s">
        <v>517</v>
      </c>
      <c r="E30" s="282" t="s">
        <v>526</v>
      </c>
      <c r="F30" s="14">
        <v>200</v>
      </c>
      <c r="G30" s="14"/>
      <c r="H30" s="14"/>
      <c r="I30" s="14"/>
      <c r="J30" s="14"/>
      <c r="K30" s="14"/>
      <c r="L30" s="14"/>
      <c r="M30" s="14"/>
      <c r="N30" s="14"/>
      <c r="O30" s="241"/>
      <c r="P30" s="14"/>
      <c r="Q30" s="14"/>
      <c r="R30" s="14"/>
      <c r="S30" s="14"/>
      <c r="T30" s="14"/>
      <c r="U30" s="14"/>
      <c r="V30" s="14"/>
      <c r="W30" s="243"/>
      <c r="X30" s="243"/>
      <c r="Y30" s="243"/>
      <c r="Z30" s="243"/>
      <c r="AA30" s="243"/>
      <c r="AB30" s="14"/>
      <c r="AC30" s="14"/>
      <c r="AD30" s="14"/>
      <c r="AE30" s="14"/>
      <c r="AF30" s="14"/>
      <c r="AG30" s="14"/>
    </row>
    <row r="31" spans="1:33" s="116" customFormat="1" ht="20.100000000000001" customHeight="1">
      <c r="A31" s="14"/>
      <c r="C31" s="14">
        <v>1029063503</v>
      </c>
      <c r="D31" s="14" t="s">
        <v>516</v>
      </c>
      <c r="E31" s="282" t="s">
        <v>527</v>
      </c>
      <c r="F31" s="14">
        <v>300</v>
      </c>
      <c r="G31" s="14"/>
      <c r="H31" s="14"/>
      <c r="I31" s="14"/>
      <c r="J31" s="14"/>
      <c r="K31" s="14"/>
      <c r="L31" s="14"/>
      <c r="M31" s="14"/>
      <c r="N31" s="14"/>
      <c r="O31" s="241"/>
      <c r="P31" s="14"/>
      <c r="Q31" s="14"/>
      <c r="R31" s="14"/>
      <c r="S31" s="14"/>
      <c r="T31" s="14"/>
      <c r="U31" s="14"/>
      <c r="V31" s="14"/>
      <c r="W31" s="243"/>
      <c r="X31" s="243"/>
      <c r="Y31" s="243"/>
      <c r="Z31" s="243"/>
      <c r="AA31" s="243"/>
      <c r="AB31" s="14"/>
      <c r="AC31" s="14"/>
      <c r="AD31" s="14"/>
      <c r="AE31" s="14"/>
      <c r="AF31" s="14"/>
      <c r="AG31" s="14"/>
    </row>
    <row r="32" spans="1:33" s="116" customFormat="1" ht="20.100000000000001" customHeight="1">
      <c r="A32" s="14"/>
      <c r="C32" s="14">
        <v>1814512864</v>
      </c>
      <c r="D32" s="14" t="s">
        <v>514</v>
      </c>
      <c r="E32" s="201" t="s">
        <v>570</v>
      </c>
      <c r="F32" s="14">
        <v>100</v>
      </c>
      <c r="G32" s="14"/>
      <c r="H32" s="14"/>
      <c r="I32" s="14"/>
      <c r="J32" s="14"/>
      <c r="K32" s="14"/>
      <c r="L32" s="14"/>
      <c r="M32" s="14"/>
      <c r="N32" s="14"/>
      <c r="O32" s="241"/>
      <c r="P32" s="14"/>
      <c r="Q32" s="14"/>
      <c r="R32" s="14"/>
      <c r="S32" s="14"/>
      <c r="T32" s="14"/>
      <c r="U32" s="14"/>
      <c r="V32" s="14"/>
      <c r="W32" s="243"/>
      <c r="X32" s="243"/>
      <c r="Y32" s="243"/>
      <c r="Z32" s="243"/>
      <c r="AA32" s="243"/>
      <c r="AB32" s="14"/>
      <c r="AC32" s="14"/>
      <c r="AD32" s="14"/>
      <c r="AE32" s="14"/>
      <c r="AF32" s="14"/>
      <c r="AG32" s="14"/>
    </row>
    <row r="33" spans="1:33" s="116" customFormat="1" ht="20.100000000000001" customHeight="1">
      <c r="A33" s="14"/>
      <c r="C33" s="14">
        <v>1864889927</v>
      </c>
      <c r="D33" s="14" t="s">
        <v>513</v>
      </c>
      <c r="E33" s="201" t="s">
        <v>571</v>
      </c>
      <c r="F33" s="14">
        <v>100</v>
      </c>
      <c r="G33" s="14"/>
      <c r="H33" s="14"/>
      <c r="I33" s="14"/>
      <c r="J33" s="14"/>
      <c r="K33" s="14"/>
      <c r="L33" s="14"/>
      <c r="M33" s="14"/>
      <c r="N33" s="14"/>
      <c r="O33" s="241"/>
      <c r="P33" s="14"/>
      <c r="Q33" s="14"/>
      <c r="R33" s="14"/>
      <c r="S33" s="14"/>
      <c r="T33" s="14"/>
      <c r="U33" s="14"/>
      <c r="V33" s="14"/>
      <c r="W33" s="243"/>
      <c r="X33" s="243"/>
      <c r="Y33" s="243"/>
      <c r="Z33" s="243"/>
      <c r="AA33" s="243"/>
      <c r="AB33" s="14"/>
      <c r="AC33" s="14"/>
      <c r="AD33" s="14"/>
      <c r="AE33" s="14"/>
      <c r="AF33" s="14"/>
      <c r="AG33" s="14"/>
    </row>
    <row r="34" spans="1:33" s="116" customFormat="1" ht="20.100000000000001" customHeight="1">
      <c r="A34" s="14"/>
      <c r="C34" s="14"/>
      <c r="D34" s="14"/>
      <c r="E34" s="282"/>
      <c r="F34" s="14"/>
      <c r="G34" s="14"/>
      <c r="H34" s="14"/>
      <c r="I34" s="14"/>
      <c r="J34" s="14"/>
      <c r="K34" s="14"/>
      <c r="L34" s="14"/>
      <c r="M34" s="14"/>
      <c r="N34" s="14"/>
      <c r="O34" s="241"/>
      <c r="P34" s="14"/>
      <c r="Q34" s="14"/>
      <c r="R34" s="14"/>
      <c r="S34" s="14"/>
      <c r="T34" s="14"/>
      <c r="U34" s="14"/>
      <c r="V34" s="14"/>
      <c r="W34" s="243"/>
      <c r="X34" s="243"/>
      <c r="Y34" s="243"/>
      <c r="Z34" s="243"/>
      <c r="AA34" s="243"/>
      <c r="AB34" s="14"/>
      <c r="AC34" s="14"/>
      <c r="AD34" s="14"/>
      <c r="AE34" s="14"/>
      <c r="AF34" s="14"/>
      <c r="AG34" s="14"/>
    </row>
    <row r="35" spans="1:33" s="116" customFormat="1" ht="20.100000000000001" customHeight="1">
      <c r="A35" s="14"/>
      <c r="C35" s="14">
        <v>1848049619</v>
      </c>
      <c r="D35" s="14" t="s">
        <v>36</v>
      </c>
      <c r="E35" s="282"/>
      <c r="F35" s="14"/>
      <c r="G35" s="14">
        <v>200</v>
      </c>
      <c r="H35" s="14"/>
      <c r="I35" s="14"/>
      <c r="J35" s="14"/>
      <c r="K35" s="14"/>
      <c r="L35" s="14"/>
      <c r="M35" s="14"/>
      <c r="N35" s="14"/>
      <c r="O35" s="241"/>
      <c r="P35" s="14"/>
      <c r="Q35" s="14"/>
      <c r="R35" s="14"/>
      <c r="S35" s="14"/>
      <c r="T35" s="14"/>
      <c r="U35" s="14"/>
      <c r="V35" s="14"/>
      <c r="W35" s="243"/>
      <c r="X35" s="243"/>
      <c r="Y35" s="243"/>
      <c r="Z35" s="243"/>
      <c r="AA35" s="243"/>
      <c r="AB35" s="14"/>
      <c r="AC35" s="14"/>
      <c r="AD35" s="14"/>
      <c r="AE35" s="14"/>
      <c r="AF35" s="14"/>
      <c r="AG35" s="14"/>
    </row>
    <row r="36" spans="1:33" s="116" customFormat="1" ht="20.100000000000001" customHeight="1">
      <c r="A36" s="14"/>
      <c r="C36" s="14">
        <v>1165597556</v>
      </c>
      <c r="D36" s="14" t="s">
        <v>37</v>
      </c>
      <c r="E36" s="282" t="s">
        <v>520</v>
      </c>
      <c r="F36" s="14"/>
      <c r="G36" s="14"/>
      <c r="H36" s="14">
        <v>300</v>
      </c>
      <c r="I36" s="14"/>
      <c r="J36" s="14"/>
      <c r="K36" s="14"/>
      <c r="L36" s="14"/>
      <c r="M36" s="14"/>
      <c r="N36" s="14"/>
      <c r="O36" s="241"/>
      <c r="P36" s="14"/>
      <c r="Q36" s="14"/>
      <c r="R36" s="14"/>
      <c r="S36" s="14"/>
      <c r="T36" s="14"/>
      <c r="U36" s="14"/>
      <c r="V36" s="14"/>
      <c r="W36" s="243"/>
      <c r="X36" s="243"/>
      <c r="Y36" s="243"/>
      <c r="Z36" s="243"/>
      <c r="AA36" s="243"/>
      <c r="AB36" s="14"/>
      <c r="AC36" s="14"/>
      <c r="AD36" s="14"/>
      <c r="AE36" s="14"/>
      <c r="AF36" s="14"/>
      <c r="AG36" s="14"/>
    </row>
    <row r="37" spans="1:33" s="116" customFormat="1" ht="20.100000000000001" customHeight="1">
      <c r="A37" s="14"/>
      <c r="C37" s="14">
        <v>267802526</v>
      </c>
      <c r="D37" s="14" t="s">
        <v>171</v>
      </c>
      <c r="E37" s="282" t="s">
        <v>521</v>
      </c>
      <c r="F37" s="14"/>
      <c r="G37" s="14"/>
      <c r="H37" s="14">
        <v>300</v>
      </c>
      <c r="I37" s="14"/>
      <c r="J37" s="14"/>
      <c r="K37" s="14"/>
      <c r="L37" s="14"/>
      <c r="M37" s="14"/>
      <c r="N37" s="14"/>
      <c r="O37" s="241"/>
      <c r="P37" s="14"/>
      <c r="Q37" s="14"/>
      <c r="R37" s="14"/>
      <c r="S37" s="14"/>
      <c r="T37" s="14"/>
      <c r="U37" s="14"/>
      <c r="V37" s="14"/>
      <c r="W37" s="243"/>
      <c r="X37" s="243"/>
      <c r="Y37" s="243"/>
      <c r="Z37" s="243"/>
      <c r="AA37" s="243"/>
      <c r="AB37" s="14"/>
      <c r="AC37" s="14"/>
      <c r="AD37" s="14"/>
      <c r="AE37" s="14"/>
      <c r="AF37" s="14"/>
      <c r="AG37" s="14"/>
    </row>
    <row r="38" spans="1:33" s="116" customFormat="1" ht="20.100000000000001" customHeight="1">
      <c r="A38" s="14"/>
      <c r="C38" s="14">
        <v>1575722042</v>
      </c>
      <c r="D38" s="14" t="s">
        <v>522</v>
      </c>
      <c r="E38" s="282" t="s">
        <v>523</v>
      </c>
      <c r="F38" s="14"/>
      <c r="G38" s="14"/>
      <c r="H38" s="14"/>
      <c r="I38" s="14"/>
      <c r="J38" s="14"/>
      <c r="K38" s="14"/>
      <c r="L38" s="14"/>
      <c r="M38" s="14"/>
      <c r="N38" s="14"/>
      <c r="O38" s="241"/>
      <c r="P38" s="14"/>
      <c r="Q38" s="14"/>
      <c r="R38" s="14"/>
      <c r="S38" s="14"/>
      <c r="T38" s="14"/>
      <c r="U38" s="14"/>
      <c r="V38" s="14"/>
      <c r="W38" s="243"/>
      <c r="X38" s="243"/>
      <c r="Y38" s="243"/>
      <c r="Z38" s="243"/>
      <c r="AA38" s="243"/>
      <c r="AB38" s="14"/>
      <c r="AC38" s="14"/>
      <c r="AD38" s="14"/>
      <c r="AE38" s="14"/>
      <c r="AF38" s="14"/>
      <c r="AG38" s="14"/>
    </row>
    <row r="39" spans="1:33" s="116" customFormat="1" ht="20.100000000000001" customHeight="1">
      <c r="A39" s="14"/>
      <c r="C39" s="14"/>
      <c r="D39" s="14"/>
      <c r="E39" s="278"/>
      <c r="F39" s="14"/>
      <c r="G39" s="14"/>
      <c r="H39" s="14"/>
      <c r="I39" s="14"/>
      <c r="J39" s="14"/>
      <c r="K39" s="14"/>
      <c r="L39" s="14"/>
      <c r="M39" s="14"/>
      <c r="N39" s="14"/>
      <c r="O39" s="241"/>
      <c r="P39" s="14"/>
      <c r="Q39" s="14"/>
      <c r="R39" s="14"/>
      <c r="S39" s="14"/>
      <c r="T39" s="14"/>
      <c r="U39" s="14"/>
      <c r="V39" s="14"/>
      <c r="W39" s="243"/>
      <c r="X39" s="243"/>
      <c r="Y39" s="243"/>
      <c r="Z39" s="243"/>
      <c r="AA39" s="243"/>
      <c r="AB39" s="244"/>
      <c r="AC39" s="244"/>
      <c r="AD39" s="14"/>
      <c r="AE39" s="14"/>
      <c r="AF39" s="14"/>
      <c r="AG39" s="14"/>
    </row>
    <row r="40" spans="1:33" s="116" customFormat="1" ht="20.100000000000001" customHeight="1">
      <c r="A40" s="14"/>
      <c r="C40" s="14">
        <v>2099188087</v>
      </c>
      <c r="D40" s="14" t="s">
        <v>503</v>
      </c>
      <c r="E40" s="285" t="s">
        <v>572</v>
      </c>
      <c r="F40" s="14">
        <v>200</v>
      </c>
      <c r="G40" s="14"/>
      <c r="H40" s="14"/>
      <c r="I40" s="14"/>
      <c r="J40" s="14"/>
      <c r="K40" s="14"/>
      <c r="L40" s="14"/>
      <c r="M40" s="14"/>
      <c r="N40" s="14"/>
      <c r="O40" s="241">
        <v>100</v>
      </c>
      <c r="P40" s="14"/>
      <c r="Q40" s="14"/>
      <c r="R40" s="14"/>
      <c r="S40" s="14"/>
      <c r="T40" s="14"/>
      <c r="U40" s="14"/>
      <c r="V40" s="14"/>
      <c r="W40" s="243"/>
      <c r="X40" s="243"/>
      <c r="Y40" s="243"/>
      <c r="Z40" s="243"/>
      <c r="AA40" s="243"/>
      <c r="AB40" s="244"/>
      <c r="AC40" s="244"/>
      <c r="AD40" s="14"/>
      <c r="AE40" s="14"/>
      <c r="AF40" s="14"/>
      <c r="AG40" s="14"/>
    </row>
    <row r="41" spans="1:33" s="116" customFormat="1" ht="20.100000000000001" customHeight="1">
      <c r="A41" s="14"/>
      <c r="C41" s="14">
        <v>1596131027</v>
      </c>
      <c r="D41" s="14" t="s">
        <v>573</v>
      </c>
      <c r="E41" s="285" t="s">
        <v>574</v>
      </c>
      <c r="F41" s="14">
        <v>200</v>
      </c>
      <c r="G41" s="14"/>
      <c r="H41" s="14"/>
      <c r="I41" s="14"/>
      <c r="J41" s="14"/>
      <c r="K41" s="14"/>
      <c r="L41" s="14"/>
      <c r="M41" s="14"/>
      <c r="N41" s="14"/>
      <c r="O41" s="241">
        <v>100</v>
      </c>
      <c r="P41" s="14"/>
      <c r="Q41" s="14"/>
      <c r="R41" s="14"/>
      <c r="S41" s="14"/>
      <c r="T41" s="14"/>
      <c r="U41" s="14"/>
      <c r="V41" s="14"/>
      <c r="W41" s="243"/>
      <c r="X41" s="243"/>
      <c r="Y41" s="243"/>
      <c r="Z41" s="243"/>
      <c r="AA41" s="243"/>
      <c r="AB41" s="244"/>
      <c r="AC41" s="244"/>
      <c r="AD41" s="14"/>
      <c r="AE41" s="14"/>
      <c r="AF41" s="14"/>
      <c r="AG41" s="14"/>
    </row>
    <row r="42" spans="1:33" s="116" customFormat="1" ht="20.100000000000001" customHeight="1">
      <c r="A42" s="14"/>
      <c r="C42" s="14"/>
      <c r="D42" s="14"/>
      <c r="E42" s="278"/>
      <c r="F42" s="14"/>
      <c r="G42" s="14"/>
      <c r="H42" s="14"/>
      <c r="I42" s="14"/>
      <c r="J42" s="14"/>
      <c r="K42" s="14"/>
      <c r="L42" s="14"/>
      <c r="M42" s="14"/>
      <c r="N42" s="14"/>
      <c r="O42" s="241"/>
      <c r="P42" s="14"/>
      <c r="Q42" s="14"/>
      <c r="R42" s="14"/>
      <c r="S42" s="14"/>
      <c r="T42" s="14"/>
      <c r="U42" s="14"/>
      <c r="V42" s="14"/>
      <c r="W42" s="243"/>
      <c r="X42" s="243"/>
      <c r="Y42" s="243"/>
      <c r="Z42" s="243"/>
      <c r="AA42" s="243"/>
      <c r="AB42" s="244"/>
      <c r="AC42" s="244"/>
      <c r="AD42" s="14"/>
      <c r="AE42" s="14"/>
      <c r="AF42" s="14"/>
      <c r="AG42" s="14"/>
    </row>
    <row r="43" spans="1:33" s="116" customFormat="1" ht="20.100000000000001" customHeight="1">
      <c r="A43" s="14"/>
      <c r="C43" s="14"/>
      <c r="D43" s="14"/>
      <c r="E43" s="282"/>
      <c r="F43" s="14"/>
      <c r="G43" s="14"/>
      <c r="H43" s="14"/>
      <c r="I43" s="14"/>
      <c r="J43" s="14"/>
      <c r="K43" s="14"/>
      <c r="L43" s="14"/>
      <c r="M43" s="14"/>
      <c r="N43" s="14"/>
      <c r="O43" s="241"/>
      <c r="P43" s="14"/>
      <c r="Q43" s="14"/>
      <c r="R43" s="14"/>
      <c r="S43" s="14"/>
      <c r="T43" s="14"/>
      <c r="U43" s="14"/>
      <c r="V43" s="14"/>
      <c r="W43" s="243"/>
      <c r="X43" s="243"/>
      <c r="Y43" s="243"/>
      <c r="Z43" s="243"/>
      <c r="AA43" s="243"/>
      <c r="AB43" s="14"/>
      <c r="AC43" s="14"/>
      <c r="AD43" s="14"/>
      <c r="AE43" s="14"/>
      <c r="AF43" s="14"/>
      <c r="AG43" s="14"/>
    </row>
    <row r="44" spans="1:33" s="116" customFormat="1" ht="20.100000000000001" customHeight="1">
      <c r="A44" s="14"/>
      <c r="C44" s="14"/>
      <c r="D44" s="14"/>
      <c r="E44" s="282"/>
      <c r="F44" s="14"/>
      <c r="G44" s="14"/>
      <c r="H44" s="14"/>
      <c r="I44" s="14"/>
      <c r="J44" s="14"/>
      <c r="K44" s="14"/>
      <c r="L44" s="14"/>
      <c r="M44" s="14"/>
      <c r="N44" s="14"/>
      <c r="O44" s="241"/>
      <c r="P44" s="14"/>
      <c r="Q44" s="14"/>
      <c r="R44" s="14"/>
      <c r="S44" s="14"/>
      <c r="T44" s="14"/>
      <c r="U44" s="14"/>
      <c r="V44" s="14"/>
      <c r="W44" s="243"/>
      <c r="X44" s="243"/>
      <c r="Y44" s="243"/>
      <c r="Z44" s="243"/>
      <c r="AA44" s="243"/>
      <c r="AB44" s="14"/>
      <c r="AC44" s="14"/>
      <c r="AD44" s="14"/>
      <c r="AE44" s="14"/>
      <c r="AF44" s="14"/>
      <c r="AG44" s="14"/>
    </row>
    <row r="45" spans="1:33" s="116" customFormat="1" ht="20.100000000000001" customHeight="1">
      <c r="A45" s="14"/>
      <c r="C45" s="14">
        <v>1642603227</v>
      </c>
      <c r="D45" s="14" t="s">
        <v>211</v>
      </c>
      <c r="E45" s="282" t="s">
        <v>532</v>
      </c>
      <c r="F45" s="14">
        <v>200</v>
      </c>
      <c r="G45" s="14"/>
      <c r="H45" s="14"/>
      <c r="I45" s="14"/>
      <c r="J45" s="14"/>
      <c r="K45" s="14"/>
      <c r="L45" s="14"/>
      <c r="M45" s="14"/>
      <c r="N45" s="14"/>
      <c r="O45" s="241"/>
      <c r="P45" s="14"/>
      <c r="Q45" s="14"/>
      <c r="R45" s="14"/>
      <c r="S45" s="14">
        <v>5</v>
      </c>
      <c r="T45" s="14"/>
      <c r="U45" s="14"/>
      <c r="V45" s="14"/>
      <c r="W45" s="243"/>
      <c r="X45" s="243"/>
      <c r="Y45" s="243"/>
      <c r="Z45" s="243"/>
      <c r="AA45" s="243"/>
      <c r="AB45" s="14"/>
      <c r="AC45" s="14"/>
      <c r="AD45" s="14"/>
      <c r="AE45" s="14"/>
      <c r="AF45" s="14"/>
      <c r="AG45" s="14"/>
    </row>
    <row r="46" spans="1:33" s="116" customFormat="1" ht="20.100000000000001" customHeight="1">
      <c r="A46" s="14"/>
      <c r="C46" s="14">
        <v>1022013892</v>
      </c>
      <c r="D46" s="14" t="s">
        <v>554</v>
      </c>
      <c r="E46" s="282" t="s">
        <v>381</v>
      </c>
      <c r="F46" s="14">
        <v>200</v>
      </c>
      <c r="G46" s="14"/>
      <c r="H46" s="14"/>
      <c r="I46" s="14"/>
      <c r="J46" s="14"/>
      <c r="K46" s="14"/>
      <c r="L46" s="14"/>
      <c r="M46" s="14"/>
      <c r="N46" s="14"/>
      <c r="O46" s="241"/>
      <c r="P46" s="14"/>
      <c r="Q46" s="14"/>
      <c r="R46" s="14"/>
      <c r="S46" s="14">
        <v>7</v>
      </c>
      <c r="T46" s="14">
        <v>7</v>
      </c>
      <c r="U46" s="14"/>
      <c r="V46" s="14"/>
      <c r="W46" s="243"/>
      <c r="X46" s="243"/>
      <c r="Y46" s="243"/>
      <c r="Z46" s="243"/>
      <c r="AA46" s="243"/>
      <c r="AB46" s="14"/>
      <c r="AC46" s="14"/>
      <c r="AD46" s="14"/>
      <c r="AE46" s="14"/>
      <c r="AF46" s="14"/>
      <c r="AG46" s="14"/>
    </row>
    <row r="47" spans="1:33" s="116" customFormat="1" ht="20.100000000000001" customHeight="1">
      <c r="A47" s="14"/>
      <c r="C47" s="14">
        <v>1287821286</v>
      </c>
      <c r="D47" s="14" t="s">
        <v>555</v>
      </c>
      <c r="E47" s="282" t="s">
        <v>265</v>
      </c>
      <c r="F47" s="14">
        <v>200</v>
      </c>
      <c r="G47" s="14"/>
      <c r="H47" s="14"/>
      <c r="I47" s="14"/>
      <c r="J47" s="14"/>
      <c r="K47" s="14"/>
      <c r="L47" s="14"/>
      <c r="M47" s="14"/>
      <c r="N47" s="14"/>
      <c r="O47" s="241"/>
      <c r="P47" s="14"/>
      <c r="Q47" s="14"/>
      <c r="R47" s="14"/>
      <c r="S47" s="14">
        <v>5</v>
      </c>
      <c r="T47" s="14">
        <v>5</v>
      </c>
      <c r="U47" s="14"/>
      <c r="V47" s="14"/>
      <c r="W47" s="243"/>
      <c r="X47" s="243"/>
      <c r="Y47" s="243"/>
      <c r="Z47" s="243"/>
      <c r="AA47" s="243"/>
      <c r="AB47" s="14"/>
      <c r="AC47" s="14"/>
      <c r="AD47" s="14"/>
      <c r="AE47" s="14"/>
      <c r="AF47" s="14"/>
      <c r="AG47" s="14"/>
    </row>
    <row r="48" spans="1:33" s="116" customFormat="1" ht="20.100000000000001" customHeight="1">
      <c r="A48" s="14"/>
      <c r="C48" s="14">
        <v>1421207239</v>
      </c>
      <c r="D48" s="14" t="s">
        <v>556</v>
      </c>
      <c r="E48" s="282" t="s">
        <v>385</v>
      </c>
      <c r="F48" s="14"/>
      <c r="G48" s="14"/>
      <c r="H48" s="14"/>
      <c r="I48" s="14"/>
      <c r="J48" s="14"/>
      <c r="K48" s="14"/>
      <c r="L48" s="14"/>
      <c r="M48" s="14"/>
      <c r="N48" s="14"/>
      <c r="O48" s="241"/>
      <c r="P48" s="14"/>
      <c r="Q48" s="14"/>
      <c r="R48" s="14"/>
      <c r="S48" s="14"/>
      <c r="T48" s="14"/>
      <c r="U48" s="14"/>
      <c r="V48" s="14"/>
      <c r="W48" s="243"/>
      <c r="X48" s="243"/>
      <c r="Y48" s="243"/>
      <c r="Z48" s="243"/>
      <c r="AA48" s="243"/>
      <c r="AB48" s="14"/>
      <c r="AC48" s="14"/>
      <c r="AD48" s="14"/>
      <c r="AE48" s="14"/>
      <c r="AF48" s="14"/>
      <c r="AG48" s="14"/>
    </row>
    <row r="49" spans="1:33" s="116" customFormat="1" ht="20.100000000000001" customHeight="1">
      <c r="A49" s="14"/>
      <c r="C49" s="14">
        <v>1683089915</v>
      </c>
      <c r="D49" s="14" t="s">
        <v>557</v>
      </c>
      <c r="E49" s="282" t="s">
        <v>387</v>
      </c>
      <c r="F49" s="14">
        <v>100</v>
      </c>
      <c r="G49" s="14"/>
      <c r="H49" s="14"/>
      <c r="I49" s="14"/>
      <c r="J49" s="14"/>
      <c r="K49" s="14"/>
      <c r="L49" s="14"/>
      <c r="M49" s="14"/>
      <c r="N49" s="14"/>
      <c r="O49" s="241"/>
      <c r="P49" s="14"/>
      <c r="Q49" s="14"/>
      <c r="R49" s="14"/>
      <c r="S49" s="14">
        <v>5</v>
      </c>
      <c r="T49" s="14"/>
      <c r="U49" s="14"/>
      <c r="V49" s="14"/>
      <c r="W49" s="243"/>
      <c r="X49" s="243"/>
      <c r="Y49" s="243"/>
      <c r="Z49" s="243"/>
      <c r="AA49" s="243"/>
      <c r="AB49" s="14"/>
      <c r="AC49" s="14"/>
      <c r="AD49" s="14"/>
      <c r="AE49" s="14"/>
      <c r="AF49" s="14"/>
      <c r="AG49" s="14"/>
    </row>
    <row r="50" spans="1:33" s="116" customFormat="1" ht="20.100000000000001" customHeight="1">
      <c r="A50" s="14"/>
      <c r="C50" s="14">
        <v>2035334597</v>
      </c>
      <c r="D50" s="14" t="s">
        <v>205</v>
      </c>
      <c r="E50" s="282" t="s">
        <v>390</v>
      </c>
      <c r="F50" s="14">
        <v>200</v>
      </c>
      <c r="G50" s="14"/>
      <c r="H50" s="14"/>
      <c r="I50" s="14"/>
      <c r="J50" s="14"/>
      <c r="K50" s="14"/>
      <c r="L50" s="14"/>
      <c r="M50" s="14"/>
      <c r="N50" s="14"/>
      <c r="O50" s="241"/>
      <c r="P50" s="14"/>
      <c r="Q50" s="14"/>
      <c r="R50" s="14"/>
      <c r="S50" s="14">
        <v>5</v>
      </c>
      <c r="T50" s="14"/>
      <c r="U50" s="14"/>
      <c r="V50" s="14"/>
      <c r="W50" s="243"/>
      <c r="X50" s="243"/>
      <c r="Y50" s="243"/>
      <c r="Z50" s="243"/>
      <c r="AA50" s="243"/>
      <c r="AB50" s="14"/>
      <c r="AC50" s="14"/>
      <c r="AD50" s="14"/>
      <c r="AE50" s="14"/>
      <c r="AF50" s="14"/>
      <c r="AG50" s="14"/>
    </row>
    <row r="51" spans="1:33" s="116" customFormat="1" ht="20.100000000000001" customHeight="1">
      <c r="A51" s="14"/>
      <c r="C51" s="14">
        <v>1839268518</v>
      </c>
      <c r="D51" s="14" t="s">
        <v>558</v>
      </c>
      <c r="E51" s="282" t="s">
        <v>392</v>
      </c>
      <c r="F51" s="14">
        <v>300</v>
      </c>
      <c r="G51" s="14"/>
      <c r="H51" s="14"/>
      <c r="I51" s="14"/>
      <c r="J51" s="14"/>
      <c r="K51" s="14"/>
      <c r="L51" s="14"/>
      <c r="M51" s="14"/>
      <c r="N51" s="14"/>
      <c r="O51" s="241"/>
      <c r="P51" s="14"/>
      <c r="Q51" s="14"/>
      <c r="R51" s="14"/>
      <c r="S51" s="14">
        <v>10</v>
      </c>
      <c r="T51" s="14">
        <v>10</v>
      </c>
      <c r="U51" s="14"/>
      <c r="V51" s="14"/>
      <c r="W51" s="243"/>
      <c r="X51" s="243"/>
      <c r="Y51" s="243"/>
      <c r="Z51" s="243"/>
      <c r="AA51" s="243"/>
      <c r="AB51" s="14"/>
      <c r="AC51" s="14"/>
      <c r="AD51" s="14"/>
      <c r="AE51" s="14"/>
      <c r="AF51" s="14"/>
      <c r="AG51" s="14"/>
    </row>
    <row r="52" spans="1:33" s="116" customFormat="1" ht="20.100000000000001" customHeight="1">
      <c r="A52" s="14"/>
      <c r="C52" s="14">
        <v>1872013382</v>
      </c>
      <c r="D52" s="14" t="s">
        <v>449</v>
      </c>
      <c r="E52" s="282" t="s">
        <v>547</v>
      </c>
      <c r="F52" s="14">
        <v>300</v>
      </c>
      <c r="G52" s="14"/>
      <c r="H52" s="14"/>
      <c r="I52" s="14"/>
      <c r="J52" s="14"/>
      <c r="K52" s="14"/>
      <c r="L52" s="14"/>
      <c r="M52" s="14"/>
      <c r="N52" s="14"/>
      <c r="O52" s="241"/>
      <c r="P52" s="14"/>
      <c r="Q52" s="14"/>
      <c r="R52" s="14"/>
      <c r="S52" s="14">
        <v>10</v>
      </c>
      <c r="T52" s="14"/>
      <c r="U52" s="14"/>
      <c r="V52" s="14"/>
      <c r="W52" s="243"/>
      <c r="X52" s="243"/>
      <c r="Y52" s="243"/>
      <c r="Z52" s="243"/>
      <c r="AA52" s="243"/>
      <c r="AB52" s="14"/>
      <c r="AC52" s="14"/>
      <c r="AD52" s="14"/>
      <c r="AE52" s="14"/>
      <c r="AF52" s="14"/>
      <c r="AG52" s="14"/>
    </row>
    <row r="53" spans="1:33" s="116" customFormat="1" ht="20.100000000000001" customHeight="1">
      <c r="A53" s="14"/>
      <c r="C53" s="14">
        <v>1632138788</v>
      </c>
      <c r="D53" s="14" t="s">
        <v>559</v>
      </c>
      <c r="E53" s="282" t="s">
        <v>530</v>
      </c>
      <c r="F53" s="14">
        <v>300</v>
      </c>
      <c r="G53" s="14"/>
      <c r="H53" s="14"/>
      <c r="I53" s="14"/>
      <c r="J53" s="14"/>
      <c r="K53" s="14"/>
      <c r="L53" s="14"/>
      <c r="M53" s="14"/>
      <c r="N53" s="14"/>
      <c r="O53" s="241"/>
      <c r="P53" s="14"/>
      <c r="Q53" s="14"/>
      <c r="R53" s="14"/>
      <c r="S53" s="14">
        <v>10</v>
      </c>
      <c r="T53" s="14"/>
      <c r="U53" s="14"/>
      <c r="V53" s="14"/>
      <c r="W53" s="243"/>
      <c r="X53" s="243"/>
      <c r="Y53" s="243"/>
      <c r="Z53" s="243"/>
      <c r="AA53" s="243"/>
      <c r="AB53" s="14"/>
      <c r="AC53" s="14"/>
      <c r="AD53" s="14"/>
      <c r="AE53" s="14"/>
      <c r="AF53" s="14"/>
      <c r="AG53" s="14"/>
    </row>
    <row r="54" spans="1:33" s="116" customFormat="1" ht="20.100000000000001" customHeight="1">
      <c r="A54" s="14"/>
      <c r="C54" s="14">
        <v>1509576334</v>
      </c>
      <c r="D54" s="14" t="s">
        <v>560</v>
      </c>
      <c r="E54" s="282" t="s">
        <v>531</v>
      </c>
      <c r="F54" s="14">
        <v>200</v>
      </c>
      <c r="G54" s="14"/>
      <c r="H54" s="14"/>
      <c r="I54" s="14"/>
      <c r="J54" s="14"/>
      <c r="K54" s="14"/>
      <c r="L54" s="14"/>
      <c r="M54" s="14"/>
      <c r="N54" s="14"/>
      <c r="O54" s="241"/>
      <c r="P54" s="14"/>
      <c r="Q54" s="14"/>
      <c r="R54" s="14"/>
      <c r="S54" s="14">
        <v>5</v>
      </c>
      <c r="T54" s="14">
        <v>5</v>
      </c>
      <c r="U54" s="14"/>
      <c r="V54" s="14"/>
      <c r="W54" s="243"/>
      <c r="X54" s="243"/>
      <c r="Y54" s="243"/>
      <c r="Z54" s="243"/>
      <c r="AA54" s="243"/>
      <c r="AB54" s="14"/>
      <c r="AC54" s="14"/>
      <c r="AD54" s="14"/>
      <c r="AE54" s="14"/>
      <c r="AF54" s="14"/>
      <c r="AG54" s="14"/>
    </row>
    <row r="55" spans="1:33" s="116" customFormat="1" ht="20.100000000000001" customHeight="1">
      <c r="A55" s="14"/>
      <c r="C55" s="14">
        <v>1201249206</v>
      </c>
      <c r="D55" s="14" t="s">
        <v>352</v>
      </c>
      <c r="E55" s="282" t="s">
        <v>394</v>
      </c>
      <c r="F55" s="14">
        <v>300</v>
      </c>
      <c r="G55" s="14"/>
      <c r="H55" s="14"/>
      <c r="I55" s="14"/>
      <c r="J55" s="14"/>
      <c r="K55" s="14"/>
      <c r="L55" s="14"/>
      <c r="M55" s="14"/>
      <c r="N55" s="14"/>
      <c r="O55" s="241"/>
      <c r="P55" s="14"/>
      <c r="Q55" s="14"/>
      <c r="R55" s="14"/>
      <c r="S55" s="14">
        <v>7</v>
      </c>
      <c r="T55" s="14">
        <v>7</v>
      </c>
      <c r="U55" s="14"/>
      <c r="V55" s="14"/>
      <c r="W55" s="243"/>
      <c r="X55" s="243"/>
      <c r="Y55" s="243"/>
      <c r="Z55" s="243"/>
      <c r="AA55" s="243"/>
      <c r="AB55" s="14"/>
      <c r="AC55" s="14"/>
      <c r="AD55" s="14"/>
      <c r="AE55" s="14"/>
      <c r="AF55" s="14"/>
      <c r="AG55" s="14"/>
    </row>
    <row r="56" spans="1:33" s="116" customFormat="1" ht="20.100000000000001" customHeight="1">
      <c r="A56" s="14"/>
      <c r="C56" s="14">
        <v>1898707389</v>
      </c>
      <c r="D56" s="14" t="s">
        <v>509</v>
      </c>
      <c r="E56" s="282" t="s">
        <v>548</v>
      </c>
      <c r="F56" s="14">
        <v>150</v>
      </c>
      <c r="G56" s="14"/>
      <c r="H56" s="14"/>
      <c r="I56" s="14"/>
      <c r="J56" s="14"/>
      <c r="K56" s="14"/>
      <c r="L56" s="14"/>
      <c r="M56" s="14"/>
      <c r="N56" s="14"/>
      <c r="O56" s="241"/>
      <c r="P56" s="14"/>
      <c r="Q56" s="14"/>
      <c r="R56" s="14"/>
      <c r="S56" s="14">
        <v>3</v>
      </c>
      <c r="T56" s="14"/>
      <c r="U56" s="14"/>
      <c r="V56" s="14"/>
      <c r="W56" s="243"/>
      <c r="X56" s="243"/>
      <c r="Y56" s="243"/>
      <c r="Z56" s="243"/>
      <c r="AA56" s="243"/>
      <c r="AB56" s="14"/>
      <c r="AC56" s="14"/>
      <c r="AD56" s="14"/>
      <c r="AE56" s="14"/>
      <c r="AF56" s="14"/>
      <c r="AG56" s="14"/>
    </row>
    <row r="57" spans="1:33" s="116" customFormat="1" ht="20.100000000000001" customHeight="1">
      <c r="A57" s="14"/>
      <c r="C57" s="14">
        <v>2056858156</v>
      </c>
      <c r="D57" s="14" t="s">
        <v>512</v>
      </c>
      <c r="E57" s="282" t="s">
        <v>549</v>
      </c>
      <c r="F57" s="14"/>
      <c r="G57" s="14"/>
      <c r="H57" s="14"/>
      <c r="I57" s="14"/>
      <c r="J57" s="14"/>
      <c r="K57" s="14"/>
      <c r="L57" s="14"/>
      <c r="M57" s="14"/>
      <c r="N57" s="14"/>
      <c r="O57" s="241"/>
      <c r="P57" s="14"/>
      <c r="Q57" s="14"/>
      <c r="R57" s="14"/>
      <c r="S57" s="14"/>
      <c r="T57" s="14"/>
      <c r="U57" s="14"/>
      <c r="V57" s="14"/>
      <c r="W57" s="243"/>
      <c r="X57" s="243"/>
      <c r="Y57" s="243"/>
      <c r="Z57" s="243"/>
      <c r="AA57" s="243"/>
      <c r="AB57" s="14"/>
      <c r="AC57" s="14"/>
      <c r="AD57" s="14"/>
      <c r="AE57" s="14"/>
      <c r="AF57" s="14"/>
      <c r="AG57" s="14"/>
    </row>
    <row r="58" spans="1:33" s="116" customFormat="1" ht="20.100000000000001" customHeight="1">
      <c r="A58" s="14"/>
      <c r="C58" s="14">
        <v>1258228694</v>
      </c>
      <c r="D58" s="14" t="s">
        <v>203</v>
      </c>
      <c r="E58" s="282" t="s">
        <v>262</v>
      </c>
      <c r="F58" s="14">
        <v>200</v>
      </c>
      <c r="G58" s="14"/>
      <c r="H58" s="14"/>
      <c r="I58" s="14"/>
      <c r="J58" s="14"/>
      <c r="K58" s="14"/>
      <c r="L58" s="14"/>
      <c r="M58" s="14"/>
      <c r="N58" s="14"/>
      <c r="O58" s="241"/>
      <c r="P58" s="14"/>
      <c r="Q58" s="14"/>
      <c r="R58" s="14"/>
      <c r="S58" s="14">
        <v>5</v>
      </c>
      <c r="T58" s="14"/>
      <c r="U58" s="14"/>
      <c r="V58" s="14"/>
      <c r="W58" s="243"/>
      <c r="X58" s="243"/>
      <c r="Y58" s="243"/>
      <c r="Z58" s="243"/>
      <c r="AA58" s="243"/>
      <c r="AB58" s="14"/>
      <c r="AC58" s="14"/>
      <c r="AD58" s="14"/>
      <c r="AE58" s="14"/>
      <c r="AF58" s="14"/>
      <c r="AG58" s="14"/>
    </row>
    <row r="59" spans="1:33" s="116" customFormat="1" ht="20.100000000000001" customHeight="1">
      <c r="A59" s="14"/>
      <c r="C59" s="14">
        <v>1016917438</v>
      </c>
      <c r="D59" s="14" t="s">
        <v>561</v>
      </c>
      <c r="E59" s="282" t="s">
        <v>382</v>
      </c>
      <c r="F59" s="14">
        <v>300</v>
      </c>
      <c r="G59" s="14"/>
      <c r="H59" s="14"/>
      <c r="I59" s="14"/>
      <c r="J59" s="14"/>
      <c r="K59" s="14"/>
      <c r="L59" s="14"/>
      <c r="M59" s="14"/>
      <c r="N59" s="14"/>
      <c r="O59" s="241"/>
      <c r="P59" s="14"/>
      <c r="Q59" s="14"/>
      <c r="R59" s="14"/>
      <c r="S59" s="14">
        <v>7</v>
      </c>
      <c r="T59" s="14"/>
      <c r="U59" s="14"/>
      <c r="V59" s="14"/>
      <c r="W59" s="243"/>
      <c r="X59" s="243"/>
      <c r="Y59" s="243"/>
      <c r="Z59" s="243"/>
      <c r="AA59" s="243"/>
      <c r="AB59" s="14"/>
      <c r="AC59" s="14"/>
      <c r="AD59" s="14"/>
      <c r="AE59" s="14"/>
      <c r="AF59" s="14"/>
      <c r="AG59" s="14"/>
    </row>
    <row r="60" spans="1:33" s="116" customFormat="1" ht="20.100000000000001" customHeight="1">
      <c r="A60" s="14"/>
      <c r="C60" s="14">
        <v>1881917537</v>
      </c>
      <c r="D60" s="14" t="s">
        <v>207</v>
      </c>
      <c r="E60" s="282" t="s">
        <v>264</v>
      </c>
      <c r="F60" s="14"/>
      <c r="G60" s="14"/>
      <c r="H60" s="14"/>
      <c r="I60" s="14"/>
      <c r="J60" s="14"/>
      <c r="K60" s="14"/>
      <c r="L60" s="14"/>
      <c r="M60" s="14"/>
      <c r="N60" s="14"/>
      <c r="O60" s="241"/>
      <c r="P60" s="14"/>
      <c r="Q60" s="14"/>
      <c r="R60" s="14"/>
      <c r="S60" s="14"/>
      <c r="T60" s="14"/>
      <c r="U60" s="14"/>
      <c r="V60" s="14"/>
      <c r="W60" s="243"/>
      <c r="X60" s="243"/>
      <c r="Y60" s="243"/>
      <c r="Z60" s="243"/>
      <c r="AA60" s="243"/>
      <c r="AB60" s="14"/>
      <c r="AC60" s="14"/>
      <c r="AD60" s="14"/>
      <c r="AE60" s="14"/>
      <c r="AF60" s="14"/>
      <c r="AG60" s="14"/>
    </row>
    <row r="61" spans="1:33" s="116" customFormat="1" ht="20.100000000000001" customHeight="1">
      <c r="A61" s="14"/>
      <c r="C61" s="14">
        <v>1886277668</v>
      </c>
      <c r="D61" s="14" t="s">
        <v>562</v>
      </c>
      <c r="E61" s="282" t="s">
        <v>389</v>
      </c>
      <c r="F61" s="14">
        <v>200</v>
      </c>
      <c r="G61" s="14"/>
      <c r="H61" s="14"/>
      <c r="I61" s="14"/>
      <c r="J61" s="14"/>
      <c r="K61" s="14"/>
      <c r="L61" s="14"/>
      <c r="M61" s="14"/>
      <c r="N61" s="14"/>
      <c r="O61" s="241"/>
      <c r="P61" s="14"/>
      <c r="Q61" s="14"/>
      <c r="R61" s="14"/>
      <c r="S61" s="14">
        <v>5</v>
      </c>
      <c r="T61" s="14"/>
      <c r="U61" s="14"/>
      <c r="V61" s="14"/>
      <c r="W61" s="243"/>
      <c r="X61" s="243"/>
      <c r="Y61" s="243"/>
      <c r="Z61" s="243"/>
      <c r="AA61" s="243"/>
      <c r="AB61" s="14"/>
      <c r="AC61" s="14"/>
      <c r="AD61" s="14"/>
      <c r="AE61" s="14"/>
      <c r="AF61" s="14"/>
      <c r="AG61" s="14"/>
    </row>
    <row r="62" spans="1:33" s="116" customFormat="1" ht="20.100000000000001" customHeight="1">
      <c r="A62" s="14"/>
      <c r="C62" s="14">
        <v>1468738927</v>
      </c>
      <c r="D62" s="14" t="s">
        <v>511</v>
      </c>
      <c r="E62" s="282" t="s">
        <v>550</v>
      </c>
      <c r="F62" s="14"/>
      <c r="G62" s="14"/>
      <c r="H62" s="14"/>
      <c r="I62" s="14"/>
      <c r="J62" s="14"/>
      <c r="K62" s="14"/>
      <c r="L62" s="14"/>
      <c r="M62" s="14"/>
      <c r="N62" s="14"/>
      <c r="O62" s="241"/>
      <c r="P62" s="14"/>
      <c r="Q62" s="14"/>
      <c r="R62" s="14"/>
      <c r="S62" s="14"/>
      <c r="T62" s="14"/>
      <c r="U62" s="14"/>
      <c r="V62" s="14"/>
      <c r="W62" s="243"/>
      <c r="X62" s="243"/>
      <c r="Y62" s="243"/>
      <c r="Z62" s="243"/>
      <c r="AA62" s="243"/>
      <c r="AB62" s="14"/>
      <c r="AC62" s="14"/>
      <c r="AD62" s="14"/>
      <c r="AE62" s="14"/>
      <c r="AF62" s="14"/>
      <c r="AG62" s="14"/>
    </row>
    <row r="63" spans="1:33" s="116" customFormat="1" ht="20.100000000000001" customHeight="1">
      <c r="A63" s="14"/>
      <c r="C63" s="14">
        <v>1937818033</v>
      </c>
      <c r="D63" s="14" t="s">
        <v>510</v>
      </c>
      <c r="E63" s="282" t="s">
        <v>551</v>
      </c>
      <c r="F63" s="14"/>
      <c r="G63" s="14"/>
      <c r="H63" s="14"/>
      <c r="I63" s="14"/>
      <c r="J63" s="14"/>
      <c r="K63" s="14"/>
      <c r="L63" s="14"/>
      <c r="M63" s="14"/>
      <c r="N63" s="14"/>
      <c r="O63" s="241"/>
      <c r="P63" s="14"/>
      <c r="Q63" s="14"/>
      <c r="R63" s="14"/>
      <c r="S63" s="14"/>
      <c r="T63" s="14"/>
      <c r="U63" s="14"/>
      <c r="V63" s="14"/>
      <c r="W63" s="243"/>
      <c r="X63" s="243"/>
      <c r="Y63" s="243"/>
      <c r="Z63" s="243"/>
      <c r="AA63" s="243"/>
      <c r="AB63" s="14"/>
      <c r="AC63" s="14"/>
      <c r="AD63" s="14"/>
      <c r="AE63" s="14"/>
      <c r="AF63" s="14"/>
      <c r="AG63" s="14"/>
    </row>
    <row r="64" spans="1:33" s="116" customFormat="1" ht="20.100000000000001" customHeight="1">
      <c r="A64" s="14"/>
      <c r="C64" s="14"/>
      <c r="D64" s="14"/>
      <c r="E64" s="282"/>
      <c r="F64" s="14"/>
      <c r="G64" s="14"/>
      <c r="H64" s="14"/>
      <c r="I64" s="14"/>
      <c r="J64" s="14"/>
      <c r="K64" s="14"/>
      <c r="L64" s="14"/>
      <c r="M64" s="14"/>
      <c r="N64" s="14"/>
      <c r="O64" s="241"/>
      <c r="P64" s="14"/>
      <c r="Q64" s="14"/>
      <c r="R64" s="14"/>
      <c r="S64" s="14"/>
      <c r="T64" s="14"/>
      <c r="U64" s="14"/>
      <c r="V64" s="14"/>
      <c r="W64" s="243"/>
      <c r="X64" s="243"/>
      <c r="Y64" s="243"/>
      <c r="Z64" s="243"/>
      <c r="AA64" s="243"/>
      <c r="AB64" s="14"/>
      <c r="AC64" s="14"/>
      <c r="AD64" s="14"/>
      <c r="AE64" s="14"/>
      <c r="AF64" s="14"/>
      <c r="AG64" s="14"/>
    </row>
    <row r="65" spans="1:33" s="116" customFormat="1" ht="20.100000000000001" customHeight="1">
      <c r="A65" s="14"/>
      <c r="C65" s="14"/>
      <c r="D65" s="14"/>
      <c r="E65" s="282"/>
      <c r="F65" s="14"/>
      <c r="G65" s="14"/>
      <c r="H65" s="14"/>
      <c r="I65" s="14"/>
      <c r="J65" s="14"/>
      <c r="K65" s="14"/>
      <c r="L65" s="14"/>
      <c r="M65" s="14"/>
      <c r="N65" s="14"/>
      <c r="O65" s="241"/>
      <c r="P65" s="14"/>
      <c r="Q65" s="14"/>
      <c r="R65" s="14"/>
      <c r="S65" s="14"/>
      <c r="T65" s="14"/>
      <c r="U65" s="14"/>
      <c r="V65" s="14"/>
      <c r="W65" s="243"/>
      <c r="X65" s="243"/>
      <c r="Y65" s="243"/>
      <c r="Z65" s="243"/>
      <c r="AA65" s="243"/>
      <c r="AB65" s="14"/>
      <c r="AC65" s="14"/>
      <c r="AD65" s="14"/>
      <c r="AE65" s="14"/>
      <c r="AF65" s="14"/>
      <c r="AG65" s="14"/>
    </row>
    <row r="66" spans="1:33" s="116" customFormat="1" ht="20.100000000000001" customHeight="1">
      <c r="A66" s="14"/>
      <c r="C66" s="14">
        <v>1726182684</v>
      </c>
      <c r="D66" s="14" t="s">
        <v>539</v>
      </c>
      <c r="E66" s="282" t="s">
        <v>546</v>
      </c>
      <c r="F66" s="14"/>
      <c r="G66" s="14"/>
      <c r="H66" s="14"/>
      <c r="I66" s="14"/>
      <c r="J66" s="14"/>
      <c r="K66" s="14"/>
      <c r="L66" s="14"/>
      <c r="M66" s="14"/>
      <c r="N66" s="14"/>
      <c r="O66" s="241"/>
      <c r="P66" s="14"/>
      <c r="Q66" s="14"/>
      <c r="R66" s="14"/>
      <c r="S66" s="14"/>
      <c r="T66" s="14"/>
      <c r="U66" s="14"/>
      <c r="V66" s="14"/>
      <c r="W66" s="243"/>
      <c r="X66" s="243"/>
      <c r="Y66" s="243"/>
      <c r="Z66" s="243"/>
      <c r="AA66" s="243"/>
      <c r="AB66" s="14"/>
      <c r="AC66" s="14"/>
      <c r="AD66" s="14"/>
      <c r="AE66" s="14"/>
      <c r="AF66" s="14"/>
      <c r="AG66" s="14"/>
    </row>
    <row r="67" spans="1:33" s="116" customFormat="1" ht="20.100000000000001" customHeight="1">
      <c r="A67" s="14"/>
      <c r="C67" s="14">
        <v>1248197916</v>
      </c>
      <c r="D67" s="14" t="s">
        <v>540</v>
      </c>
      <c r="E67" s="282" t="s">
        <v>537</v>
      </c>
      <c r="F67" s="14"/>
      <c r="G67" s="14"/>
      <c r="H67" s="14"/>
      <c r="I67" s="14"/>
      <c r="J67" s="14"/>
      <c r="K67" s="14"/>
      <c r="L67" s="14"/>
      <c r="M67" s="14"/>
      <c r="N67" s="14"/>
      <c r="O67" s="241"/>
      <c r="P67" s="14"/>
      <c r="Q67" s="14"/>
      <c r="R67" s="14"/>
      <c r="S67" s="14"/>
      <c r="T67" s="14"/>
      <c r="U67" s="14"/>
      <c r="V67" s="14"/>
      <c r="W67" s="243"/>
      <c r="X67" s="243"/>
      <c r="Y67" s="243"/>
      <c r="Z67" s="243"/>
      <c r="AA67" s="243"/>
      <c r="AB67" s="14"/>
      <c r="AC67" s="14"/>
      <c r="AD67" s="14"/>
      <c r="AE67" s="14"/>
      <c r="AF67" s="14"/>
      <c r="AG67" s="14"/>
    </row>
    <row r="68" spans="1:33" s="116" customFormat="1" ht="20.100000000000001" customHeight="1">
      <c r="A68" s="14"/>
      <c r="C68" s="14">
        <v>1731817909</v>
      </c>
      <c r="D68" s="14" t="s">
        <v>541</v>
      </c>
      <c r="E68" s="282" t="s">
        <v>533</v>
      </c>
      <c r="F68" s="14"/>
      <c r="G68" s="14"/>
      <c r="H68" s="14"/>
      <c r="I68" s="14"/>
      <c r="J68" s="14"/>
      <c r="K68" s="14"/>
      <c r="L68" s="14"/>
      <c r="M68" s="14"/>
      <c r="N68" s="14"/>
      <c r="O68" s="241"/>
      <c r="P68" s="14"/>
      <c r="Q68" s="14"/>
      <c r="R68" s="14"/>
      <c r="S68" s="14"/>
      <c r="T68" s="14"/>
      <c r="U68" s="14"/>
      <c r="V68" s="14"/>
      <c r="W68" s="243"/>
      <c r="X68" s="243"/>
      <c r="Y68" s="243"/>
      <c r="Z68" s="243"/>
      <c r="AA68" s="243"/>
      <c r="AB68" s="14"/>
      <c r="AC68" s="14"/>
      <c r="AD68" s="14"/>
      <c r="AE68" s="14"/>
      <c r="AF68" s="14"/>
      <c r="AG68" s="14"/>
    </row>
    <row r="69" spans="1:33" s="116" customFormat="1" ht="20.100000000000001" customHeight="1">
      <c r="A69" s="14"/>
      <c r="C69" s="14">
        <v>34283740</v>
      </c>
      <c r="D69" s="14" t="s">
        <v>542</v>
      </c>
      <c r="E69" s="282" t="s">
        <v>534</v>
      </c>
      <c r="F69" s="14"/>
      <c r="G69" s="14"/>
      <c r="H69" s="14"/>
      <c r="I69" s="14"/>
      <c r="J69" s="14"/>
      <c r="K69" s="14"/>
      <c r="L69" s="14"/>
      <c r="M69" s="14"/>
      <c r="N69" s="14"/>
      <c r="O69" s="241"/>
      <c r="P69" s="14"/>
      <c r="Q69" s="14"/>
      <c r="R69" s="14"/>
      <c r="S69" s="14"/>
      <c r="T69" s="14"/>
      <c r="U69" s="14"/>
      <c r="V69" s="14"/>
      <c r="W69" s="243"/>
      <c r="X69" s="243"/>
      <c r="Y69" s="243"/>
      <c r="Z69" s="243"/>
      <c r="AA69" s="243"/>
      <c r="AB69" s="14"/>
      <c r="AC69" s="14"/>
      <c r="AD69" s="14"/>
      <c r="AE69" s="14"/>
      <c r="AF69" s="14"/>
      <c r="AG69" s="14"/>
    </row>
    <row r="70" spans="1:33" s="116" customFormat="1" ht="20.100000000000001" customHeight="1">
      <c r="A70" s="14"/>
      <c r="C70" s="14">
        <v>37542360</v>
      </c>
      <c r="D70" s="14" t="s">
        <v>543</v>
      </c>
      <c r="E70" s="282" t="s">
        <v>538</v>
      </c>
      <c r="F70" s="247"/>
      <c r="G70" s="14"/>
      <c r="H70" s="14"/>
      <c r="I70" s="14"/>
      <c r="J70" s="14"/>
      <c r="K70" s="14"/>
      <c r="L70" s="14"/>
      <c r="M70" s="14"/>
      <c r="N70" s="14"/>
      <c r="O70" s="241"/>
      <c r="P70" s="14"/>
      <c r="Q70" s="14"/>
      <c r="R70" s="14"/>
      <c r="S70" s="14"/>
      <c r="T70" s="14"/>
      <c r="U70" s="14"/>
      <c r="V70" s="14"/>
      <c r="W70" s="243"/>
      <c r="X70" s="243"/>
      <c r="Y70" s="243"/>
      <c r="Z70" s="243"/>
      <c r="AA70" s="243"/>
      <c r="AB70" s="14"/>
      <c r="AC70" s="14"/>
      <c r="AD70" s="14"/>
      <c r="AE70" s="14"/>
      <c r="AF70" s="14"/>
      <c r="AG70" s="14"/>
    </row>
    <row r="71" spans="1:33" s="116" customFormat="1" ht="20.100000000000001" customHeight="1">
      <c r="A71" s="14"/>
      <c r="C71" s="14">
        <v>1004387540</v>
      </c>
      <c r="D71" s="14" t="s">
        <v>544</v>
      </c>
      <c r="E71" s="282" t="s">
        <v>553</v>
      </c>
      <c r="F71" s="14"/>
      <c r="G71" s="14"/>
      <c r="H71" s="14"/>
      <c r="I71" s="14"/>
      <c r="J71" s="14"/>
      <c r="K71" s="14"/>
      <c r="L71" s="14"/>
      <c r="M71" s="14"/>
      <c r="N71" s="14"/>
      <c r="O71" s="241"/>
      <c r="P71" s="14"/>
      <c r="Q71" s="14"/>
      <c r="R71" s="14"/>
      <c r="S71" s="14"/>
      <c r="T71" s="14"/>
      <c r="U71" s="14"/>
      <c r="V71" s="14"/>
      <c r="W71" s="243"/>
      <c r="X71" s="243"/>
      <c r="Y71" s="243"/>
      <c r="Z71" s="243"/>
      <c r="AA71" s="243"/>
      <c r="AB71" s="14"/>
      <c r="AC71" s="14"/>
      <c r="AD71" s="14"/>
      <c r="AE71" s="14"/>
      <c r="AF71" s="14"/>
      <c r="AG71" s="14"/>
    </row>
    <row r="72" spans="1:33" s="116" customFormat="1" ht="20.100000000000001" customHeight="1">
      <c r="A72" s="14"/>
      <c r="C72" s="14">
        <v>1628980692</v>
      </c>
      <c r="D72" s="14" t="s">
        <v>545</v>
      </c>
      <c r="E72" s="282" t="s">
        <v>535</v>
      </c>
      <c r="F72" s="247"/>
      <c r="G72" s="14"/>
      <c r="H72" s="14"/>
      <c r="I72" s="14"/>
      <c r="J72" s="14"/>
      <c r="K72" s="14"/>
      <c r="L72" s="14"/>
      <c r="M72" s="14"/>
      <c r="N72" s="14"/>
      <c r="O72" s="241"/>
      <c r="P72" s="14"/>
      <c r="Q72" s="14"/>
      <c r="R72" s="14"/>
      <c r="S72" s="14"/>
      <c r="T72" s="14"/>
      <c r="U72" s="14"/>
      <c r="V72" s="14"/>
      <c r="W72" s="243"/>
      <c r="X72" s="243"/>
      <c r="Y72" s="243"/>
      <c r="Z72" s="243"/>
      <c r="AA72" s="243"/>
      <c r="AB72" s="14"/>
      <c r="AC72" s="14"/>
      <c r="AD72" s="14"/>
      <c r="AE72" s="14"/>
      <c r="AF72" s="14"/>
      <c r="AG72" s="14"/>
    </row>
    <row r="73" spans="1:33" s="116" customFormat="1" ht="20.100000000000001" customHeight="1">
      <c r="A73" s="14"/>
      <c r="C73" s="14">
        <v>2022817604</v>
      </c>
      <c r="D73" s="14" t="s">
        <v>563</v>
      </c>
      <c r="E73" s="282" t="s">
        <v>536</v>
      </c>
      <c r="F73" s="247"/>
      <c r="G73" s="14"/>
      <c r="H73" s="14"/>
      <c r="I73" s="14"/>
      <c r="J73" s="14"/>
      <c r="K73" s="14"/>
      <c r="L73" s="14"/>
      <c r="M73" s="14"/>
      <c r="N73" s="14"/>
      <c r="O73" s="241"/>
      <c r="P73" s="14"/>
      <c r="Q73" s="14"/>
      <c r="R73" s="14"/>
      <c r="S73" s="14"/>
      <c r="T73" s="14"/>
      <c r="U73" s="14"/>
      <c r="V73" s="14"/>
      <c r="W73" s="243"/>
      <c r="X73" s="243"/>
      <c r="Y73" s="243"/>
      <c r="Z73" s="243"/>
      <c r="AA73" s="243"/>
      <c r="AB73" s="14"/>
      <c r="AC73" s="14"/>
      <c r="AD73" s="14"/>
      <c r="AE73" s="14"/>
      <c r="AF73" s="14"/>
      <c r="AG73" s="14"/>
    </row>
    <row r="74" spans="1:33" s="116" customFormat="1" ht="20.100000000000001" customHeight="1">
      <c r="A74" s="14"/>
      <c r="C74" s="14">
        <v>1108685948</v>
      </c>
      <c r="D74" s="14" t="s">
        <v>323</v>
      </c>
      <c r="E74" s="282" t="s">
        <v>416</v>
      </c>
      <c r="F74" s="14">
        <v>200</v>
      </c>
      <c r="G74" s="14"/>
      <c r="H74" s="14"/>
      <c r="I74" s="14"/>
      <c r="J74" s="14"/>
      <c r="K74" s="14"/>
      <c r="L74" s="14"/>
      <c r="M74" s="14"/>
      <c r="N74" s="14"/>
      <c r="O74" s="241"/>
      <c r="P74" s="14"/>
      <c r="Q74" s="14"/>
      <c r="R74" s="14"/>
      <c r="S74" s="14"/>
      <c r="T74" s="14"/>
      <c r="U74" s="14">
        <v>5</v>
      </c>
      <c r="V74" s="14"/>
      <c r="W74" s="243"/>
      <c r="X74" s="243"/>
      <c r="Y74" s="243"/>
      <c r="Z74" s="243"/>
      <c r="AA74" s="243"/>
      <c r="AB74" s="14"/>
      <c r="AC74" s="14"/>
      <c r="AD74" s="14"/>
      <c r="AE74" s="14"/>
      <c r="AF74" s="14"/>
      <c r="AG74" s="14"/>
    </row>
    <row r="75" spans="1:33" s="116" customFormat="1" ht="20.100000000000001" customHeight="1">
      <c r="A75" s="14"/>
      <c r="C75" s="14"/>
      <c r="D75" s="14"/>
      <c r="E75" s="282"/>
      <c r="F75" s="14"/>
      <c r="G75" s="14"/>
      <c r="H75" s="14"/>
      <c r="I75" s="14"/>
      <c r="J75" s="14"/>
      <c r="K75" s="14"/>
      <c r="L75" s="14"/>
      <c r="M75" s="14"/>
      <c r="N75" s="14"/>
      <c r="O75" s="241"/>
      <c r="P75" s="14"/>
      <c r="Q75" s="14"/>
      <c r="R75" s="14"/>
      <c r="S75" s="14"/>
      <c r="T75" s="14"/>
      <c r="U75" s="14"/>
      <c r="V75" s="14"/>
      <c r="W75" s="243"/>
      <c r="X75" s="243"/>
      <c r="Y75" s="243"/>
      <c r="Z75" s="243"/>
      <c r="AA75" s="243"/>
      <c r="AB75" s="14"/>
      <c r="AC75" s="14"/>
      <c r="AD75" s="14"/>
      <c r="AE75" s="14"/>
      <c r="AF75" s="14"/>
      <c r="AG75" s="14"/>
    </row>
    <row r="76" spans="1:33" s="116" customFormat="1" ht="20.100000000000001" customHeight="1">
      <c r="A76" s="14"/>
      <c r="C76" s="14"/>
      <c r="D76" s="14" t="s">
        <v>69</v>
      </c>
      <c r="E76" s="282"/>
      <c r="F76" s="14"/>
      <c r="G76" s="14"/>
      <c r="H76" s="14"/>
      <c r="I76" s="14"/>
      <c r="J76" s="14"/>
      <c r="K76" s="14"/>
      <c r="L76" s="14"/>
      <c r="M76" s="14"/>
      <c r="N76" s="14"/>
      <c r="O76" s="241"/>
      <c r="P76" s="14"/>
      <c r="Q76" s="14"/>
      <c r="R76" s="14"/>
      <c r="S76" s="14"/>
      <c r="T76" s="14"/>
      <c r="U76" s="14"/>
      <c r="V76" s="14"/>
      <c r="W76" s="243"/>
      <c r="X76" s="243"/>
      <c r="Y76" s="243"/>
      <c r="Z76" s="243"/>
      <c r="AA76" s="243"/>
      <c r="AB76" s="14"/>
      <c r="AC76" s="14"/>
      <c r="AD76" s="14"/>
      <c r="AE76" s="14"/>
      <c r="AF76" s="14"/>
      <c r="AG76" s="14"/>
    </row>
    <row r="77" spans="1:33" s="116" customFormat="1" ht="20.100000000000001" customHeight="1">
      <c r="A77" s="14"/>
      <c r="C77" s="14"/>
      <c r="D77" s="14"/>
      <c r="E77" s="282"/>
      <c r="F77" s="14"/>
      <c r="G77" s="14"/>
      <c r="H77" s="14"/>
      <c r="I77" s="14"/>
      <c r="J77" s="14"/>
      <c r="K77" s="14"/>
      <c r="L77" s="14"/>
      <c r="M77" s="14"/>
      <c r="N77" s="14"/>
      <c r="O77" s="241"/>
      <c r="P77" s="14"/>
      <c r="Q77" s="14"/>
      <c r="R77" s="14"/>
      <c r="S77" s="14"/>
      <c r="T77" s="14"/>
      <c r="U77" s="14"/>
      <c r="V77" s="14"/>
      <c r="W77" s="243"/>
      <c r="X77" s="243"/>
      <c r="Y77" s="243"/>
      <c r="Z77" s="243"/>
      <c r="AA77" s="243"/>
      <c r="AB77" s="14"/>
      <c r="AC77" s="14"/>
      <c r="AD77" s="14"/>
      <c r="AE77" s="14"/>
      <c r="AF77" s="14"/>
      <c r="AG77" s="14"/>
    </row>
    <row r="78" spans="1:33" s="116" customFormat="1" ht="20.100000000000001" customHeight="1">
      <c r="A78" s="14"/>
      <c r="C78" s="14"/>
      <c r="D78" s="14" t="s">
        <v>47</v>
      </c>
      <c r="E78" s="282"/>
      <c r="F78" s="14"/>
      <c r="G78" s="14"/>
      <c r="H78" s="14"/>
      <c r="I78" s="14"/>
      <c r="J78" s="14"/>
      <c r="K78" s="14"/>
      <c r="L78" s="14"/>
      <c r="M78" s="14"/>
      <c r="N78" s="14"/>
      <c r="O78" s="241"/>
      <c r="P78" s="14"/>
      <c r="Q78" s="14"/>
      <c r="R78" s="14"/>
      <c r="S78" s="14"/>
      <c r="T78" s="14"/>
      <c r="U78" s="14"/>
      <c r="V78" s="14"/>
      <c r="W78" s="243"/>
      <c r="X78" s="243"/>
      <c r="Y78" s="243"/>
      <c r="Z78" s="243"/>
      <c r="AA78" s="243"/>
      <c r="AB78" s="14"/>
      <c r="AC78" s="14"/>
      <c r="AD78" s="14"/>
      <c r="AE78" s="14"/>
      <c r="AF78" s="14"/>
      <c r="AG78" s="14"/>
    </row>
    <row r="79" spans="1:33" s="116" customFormat="1" ht="20.100000000000001" customHeight="1">
      <c r="A79" s="14"/>
      <c r="C79" s="14"/>
      <c r="D79" s="14" t="s">
        <v>41</v>
      </c>
      <c r="E79" s="282"/>
      <c r="F79" s="14"/>
      <c r="G79" s="14"/>
      <c r="H79" s="14"/>
      <c r="I79" s="14"/>
      <c r="J79" s="14"/>
      <c r="K79" s="14"/>
      <c r="L79" s="14"/>
      <c r="M79" s="14"/>
      <c r="N79" s="14"/>
      <c r="O79" s="241"/>
      <c r="P79" s="14"/>
      <c r="Q79" s="14"/>
      <c r="R79" s="14"/>
      <c r="S79" s="14"/>
      <c r="T79" s="14"/>
      <c r="U79" s="14"/>
      <c r="V79" s="14"/>
      <c r="W79" s="243"/>
      <c r="X79" s="243"/>
      <c r="Y79" s="243"/>
      <c r="Z79" s="243"/>
      <c r="AA79" s="243"/>
      <c r="AB79" s="14"/>
      <c r="AC79" s="14"/>
      <c r="AD79" s="14"/>
      <c r="AE79" s="14"/>
      <c r="AF79" s="14"/>
      <c r="AG79" s="14"/>
    </row>
    <row r="80" spans="1:33" s="116" customFormat="1" ht="20.100000000000001" customHeight="1">
      <c r="A80" s="14"/>
      <c r="C80" s="14"/>
      <c r="D80" s="14" t="s">
        <v>325</v>
      </c>
      <c r="E80" s="282"/>
      <c r="F80" s="14"/>
      <c r="G80" s="14"/>
      <c r="H80" s="14"/>
      <c r="I80" s="14"/>
      <c r="J80" s="14"/>
      <c r="K80" s="14"/>
      <c r="L80" s="14"/>
      <c r="M80" s="14"/>
      <c r="N80" s="14"/>
      <c r="O80" s="241"/>
      <c r="P80" s="14"/>
      <c r="Q80" s="14"/>
      <c r="R80" s="14"/>
      <c r="S80" s="14"/>
      <c r="T80" s="14"/>
      <c r="U80" s="14"/>
      <c r="V80" s="14"/>
      <c r="W80" s="243"/>
      <c r="X80" s="243"/>
      <c r="Y80" s="243"/>
      <c r="Z80" s="243"/>
      <c r="AA80" s="243"/>
      <c r="AB80" s="14"/>
      <c r="AC80" s="14"/>
      <c r="AD80" s="14"/>
      <c r="AE80" s="14"/>
      <c r="AF80" s="14"/>
      <c r="AG80" s="14"/>
    </row>
    <row r="81" spans="1:33" s="116" customFormat="1" ht="20.100000000000001" customHeight="1">
      <c r="A81" s="14"/>
      <c r="C81" s="14"/>
      <c r="D81" s="14" t="s">
        <v>153</v>
      </c>
      <c r="E81" s="282"/>
      <c r="F81" s="14"/>
      <c r="G81" s="14"/>
      <c r="H81" s="14"/>
      <c r="I81" s="14"/>
      <c r="J81" s="14"/>
      <c r="K81" s="14"/>
      <c r="L81" s="14"/>
      <c r="M81" s="14"/>
      <c r="N81" s="14"/>
      <c r="O81" s="241"/>
      <c r="P81" s="14"/>
      <c r="Q81" s="14"/>
      <c r="R81" s="14"/>
      <c r="S81" s="14"/>
      <c r="T81" s="14"/>
      <c r="U81" s="14"/>
      <c r="V81" s="14"/>
      <c r="W81" s="243"/>
      <c r="X81" s="243"/>
      <c r="Y81" s="243"/>
      <c r="Z81" s="243"/>
      <c r="AA81" s="243"/>
      <c r="AB81" s="14"/>
      <c r="AC81" s="14"/>
      <c r="AD81" s="14"/>
      <c r="AE81" s="14"/>
      <c r="AF81" s="14"/>
      <c r="AG81" s="14"/>
    </row>
    <row r="82" spans="1:33" s="116" customFormat="1" ht="20.100000000000001" customHeight="1">
      <c r="A82" s="14"/>
      <c r="C82" s="14"/>
      <c r="D82" s="14" t="s">
        <v>171</v>
      </c>
      <c r="E82" s="282"/>
      <c r="F82" s="14"/>
      <c r="G82" s="14"/>
      <c r="H82" s="14"/>
      <c r="I82" s="14"/>
      <c r="J82" s="14"/>
      <c r="K82" s="14"/>
      <c r="L82" s="14"/>
      <c r="M82" s="14"/>
      <c r="N82" s="14"/>
      <c r="O82" s="241"/>
      <c r="P82" s="14"/>
      <c r="Q82" s="14"/>
      <c r="R82" s="14"/>
      <c r="S82" s="14"/>
      <c r="T82" s="14"/>
      <c r="U82" s="14"/>
      <c r="V82" s="14"/>
      <c r="W82" s="243"/>
      <c r="X82" s="243"/>
      <c r="Y82" s="243"/>
      <c r="Z82" s="243"/>
      <c r="AA82" s="243"/>
      <c r="AB82" s="14"/>
      <c r="AC82" s="14"/>
      <c r="AD82" s="14"/>
      <c r="AE82" s="14"/>
      <c r="AF82" s="14"/>
      <c r="AG82" s="14"/>
    </row>
    <row r="83" spans="1:33" s="116" customFormat="1" ht="20.100000000000001" customHeight="1">
      <c r="A83" s="14"/>
      <c r="C83" s="14"/>
      <c r="D83" s="14" t="s">
        <v>138</v>
      </c>
      <c r="E83" s="282"/>
      <c r="F83" s="14"/>
      <c r="G83" s="14"/>
      <c r="H83" s="14"/>
      <c r="I83" s="14"/>
      <c r="J83" s="14"/>
      <c r="K83" s="14"/>
      <c r="L83" s="14"/>
      <c r="M83" s="14"/>
      <c r="N83" s="14"/>
      <c r="O83" s="241"/>
      <c r="P83" s="14"/>
      <c r="Q83" s="14"/>
      <c r="R83" s="14"/>
      <c r="S83" s="14"/>
      <c r="T83" s="14"/>
      <c r="U83" s="14"/>
      <c r="V83" s="14"/>
      <c r="W83" s="243"/>
      <c r="X83" s="243"/>
      <c r="Y83" s="243"/>
      <c r="Z83" s="243"/>
      <c r="AA83" s="243"/>
      <c r="AB83" s="14"/>
      <c r="AC83" s="14"/>
      <c r="AD83" s="14"/>
      <c r="AE83" s="14"/>
      <c r="AF83" s="14"/>
      <c r="AG83" s="14"/>
    </row>
    <row r="84" spans="1:33" s="116" customFormat="1" ht="20.100000000000001" customHeight="1">
      <c r="A84" s="14"/>
      <c r="C84" s="14"/>
      <c r="D84" s="14" t="s">
        <v>73</v>
      </c>
      <c r="E84" s="282"/>
      <c r="F84" s="14"/>
      <c r="G84" s="14"/>
      <c r="H84" s="14"/>
      <c r="I84" s="14"/>
      <c r="J84" s="14"/>
      <c r="K84" s="14"/>
      <c r="L84" s="14"/>
      <c r="M84" s="14"/>
      <c r="N84" s="14"/>
      <c r="O84" s="241"/>
      <c r="P84" s="14"/>
      <c r="Q84" s="14"/>
      <c r="R84" s="14"/>
      <c r="S84" s="14"/>
      <c r="T84" s="14"/>
      <c r="U84" s="14"/>
      <c r="V84" s="14"/>
      <c r="W84" s="243"/>
      <c r="X84" s="243"/>
      <c r="Y84" s="243"/>
      <c r="Z84" s="243"/>
      <c r="AA84" s="243"/>
      <c r="AB84" s="14"/>
      <c r="AC84" s="14"/>
      <c r="AD84" s="14"/>
      <c r="AE84" s="14"/>
      <c r="AF84" s="14"/>
      <c r="AG84" s="14"/>
    </row>
    <row r="85" spans="1:33" s="116" customFormat="1" ht="20.100000000000001" customHeight="1">
      <c r="A85" s="14"/>
      <c r="C85" s="14">
        <v>1294147426</v>
      </c>
      <c r="D85" s="14" t="s">
        <v>21</v>
      </c>
      <c r="E85" s="282"/>
      <c r="F85" s="14"/>
      <c r="G85" s="14"/>
      <c r="H85" s="14"/>
      <c r="I85" s="14"/>
      <c r="J85" s="14"/>
      <c r="K85" s="14"/>
      <c r="L85" s="14"/>
      <c r="M85" s="14"/>
      <c r="N85" s="14"/>
      <c r="O85" s="241"/>
      <c r="P85" s="14"/>
      <c r="Q85" s="14"/>
      <c r="R85" s="14"/>
      <c r="S85" s="14"/>
      <c r="T85" s="14"/>
      <c r="U85" s="14"/>
      <c r="V85" s="14"/>
      <c r="W85" s="243"/>
      <c r="X85" s="243"/>
      <c r="Y85" s="243"/>
      <c r="Z85" s="243"/>
      <c r="AA85" s="243"/>
      <c r="AB85" s="14"/>
      <c r="AC85" s="14"/>
      <c r="AD85" s="14"/>
      <c r="AE85" s="14"/>
      <c r="AF85" s="14"/>
      <c r="AG85" s="14"/>
    </row>
    <row r="86" spans="1:33" s="116" customFormat="1" ht="20.100000000000001" customHeight="1">
      <c r="A86" s="14"/>
      <c r="C86" s="14"/>
      <c r="D86" s="14" t="s">
        <v>362</v>
      </c>
      <c r="E86" s="282"/>
      <c r="F86" s="14"/>
      <c r="G86" s="14"/>
      <c r="H86" s="14"/>
      <c r="I86" s="14"/>
      <c r="J86" s="14"/>
      <c r="K86" s="14"/>
      <c r="L86" s="14"/>
      <c r="M86" s="14"/>
      <c r="N86" s="14"/>
      <c r="O86" s="241"/>
      <c r="P86" s="14"/>
      <c r="Q86" s="14"/>
      <c r="R86" s="14"/>
      <c r="S86" s="14"/>
      <c r="T86" s="14"/>
      <c r="U86" s="14"/>
      <c r="V86" s="14"/>
      <c r="W86" s="243"/>
      <c r="X86" s="243"/>
      <c r="Y86" s="243"/>
      <c r="Z86" s="243"/>
      <c r="AA86" s="243"/>
      <c r="AB86" s="14"/>
      <c r="AC86" s="14"/>
      <c r="AD86" s="14"/>
      <c r="AE86" s="14"/>
      <c r="AF86" s="14"/>
      <c r="AG86" s="14"/>
    </row>
    <row r="87" spans="1:33" s="116" customFormat="1" ht="20.100000000000001" customHeight="1">
      <c r="A87" s="14"/>
      <c r="C87" s="14"/>
      <c r="D87" s="14" t="s">
        <v>364</v>
      </c>
      <c r="E87" s="282"/>
      <c r="F87" s="14"/>
      <c r="G87" s="14"/>
      <c r="H87" s="14"/>
      <c r="I87" s="14"/>
      <c r="J87" s="14"/>
      <c r="K87" s="14"/>
      <c r="L87" s="14"/>
      <c r="M87" s="14"/>
      <c r="N87" s="14"/>
      <c r="O87" s="241"/>
      <c r="P87" s="14"/>
      <c r="Q87" s="14"/>
      <c r="R87" s="14"/>
      <c r="S87" s="14"/>
      <c r="T87" s="14"/>
      <c r="U87" s="14"/>
      <c r="V87" s="14"/>
      <c r="W87" s="243"/>
      <c r="X87" s="243"/>
      <c r="Y87" s="243"/>
      <c r="Z87" s="243"/>
      <c r="AA87" s="243"/>
      <c r="AB87" s="14"/>
      <c r="AC87" s="14"/>
      <c r="AD87" s="14"/>
      <c r="AE87" s="14"/>
      <c r="AF87" s="14"/>
      <c r="AG87" s="14"/>
    </row>
    <row r="88" spans="1:33" s="116" customFormat="1" ht="20.100000000000001" customHeight="1">
      <c r="A88" s="14"/>
      <c r="C88" s="14"/>
      <c r="D88" s="14" t="s">
        <v>367</v>
      </c>
      <c r="E88" s="282"/>
      <c r="F88" s="14"/>
      <c r="G88" s="14"/>
      <c r="H88" s="14"/>
      <c r="I88" s="14"/>
      <c r="J88" s="14"/>
      <c r="K88" s="14"/>
      <c r="L88" s="14"/>
      <c r="M88" s="14"/>
      <c r="N88" s="14"/>
      <c r="O88" s="241"/>
      <c r="P88" s="14"/>
      <c r="Q88" s="14"/>
      <c r="R88" s="14"/>
      <c r="S88" s="14"/>
      <c r="T88" s="14"/>
      <c r="U88" s="14"/>
      <c r="V88" s="14"/>
      <c r="W88" s="243"/>
      <c r="X88" s="243"/>
      <c r="Y88" s="243"/>
      <c r="Z88" s="243"/>
      <c r="AA88" s="243"/>
      <c r="AB88" s="14"/>
      <c r="AC88" s="14"/>
      <c r="AD88" s="14"/>
      <c r="AE88" s="14"/>
      <c r="AF88" s="14"/>
      <c r="AG88" s="14"/>
    </row>
    <row r="89" spans="1:33" s="116" customFormat="1" ht="20.100000000000001" customHeight="1">
      <c r="A89" s="14"/>
      <c r="C89" s="14"/>
      <c r="D89" s="14" t="s">
        <v>55</v>
      </c>
      <c r="E89" s="282"/>
      <c r="F89" s="14"/>
      <c r="G89" s="14"/>
      <c r="H89" s="14"/>
      <c r="I89" s="14"/>
      <c r="J89" s="14"/>
      <c r="K89" s="14"/>
      <c r="L89" s="14"/>
      <c r="M89" s="14"/>
      <c r="N89" s="14"/>
      <c r="O89" s="241"/>
      <c r="P89" s="14"/>
      <c r="Q89" s="14"/>
      <c r="R89" s="14"/>
      <c r="S89" s="14"/>
      <c r="T89" s="14"/>
      <c r="U89" s="14"/>
      <c r="V89" s="14"/>
      <c r="W89" s="243"/>
      <c r="X89" s="243"/>
      <c r="Y89" s="243"/>
      <c r="Z89" s="243"/>
      <c r="AA89" s="243"/>
      <c r="AB89" s="14"/>
      <c r="AC89" s="14"/>
      <c r="AD89" s="14"/>
      <c r="AE89" s="14"/>
      <c r="AF89" s="14"/>
      <c r="AG89" s="14"/>
    </row>
    <row r="90" spans="1:33" s="116" customFormat="1" ht="20.100000000000001" customHeight="1">
      <c r="A90" s="14"/>
      <c r="C90" s="14">
        <v>465407558</v>
      </c>
      <c r="D90" s="14" t="s">
        <v>518</v>
      </c>
      <c r="E90" s="282"/>
      <c r="F90" s="14"/>
      <c r="G90" s="14"/>
      <c r="H90" s="14"/>
      <c r="I90" s="14"/>
      <c r="J90" s="14"/>
      <c r="K90" s="14"/>
      <c r="L90" s="14"/>
      <c r="M90" s="14"/>
      <c r="N90" s="14"/>
      <c r="O90" s="241"/>
      <c r="P90" s="14"/>
      <c r="Q90" s="14"/>
      <c r="R90" s="14"/>
      <c r="S90" s="14"/>
      <c r="T90" s="14"/>
      <c r="U90" s="14"/>
      <c r="V90" s="14"/>
      <c r="W90" s="243"/>
      <c r="X90" s="243"/>
      <c r="Y90" s="243"/>
      <c r="Z90" s="243"/>
      <c r="AA90" s="243"/>
      <c r="AB90" s="14"/>
      <c r="AC90" s="14"/>
      <c r="AD90" s="14"/>
      <c r="AE90" s="14"/>
      <c r="AF90" s="14"/>
      <c r="AG90" s="14"/>
    </row>
    <row r="91" spans="1:33" s="116" customFormat="1" ht="20.100000000000001" customHeight="1">
      <c r="A91" s="14"/>
      <c r="C91" s="14">
        <v>37775617</v>
      </c>
      <c r="D91" s="14" t="s">
        <v>360</v>
      </c>
      <c r="E91" s="282" t="str">
        <f>"https://m.place.naver.com/place/" &amp;C91 &amp; "/home"</f>
        <v>https://m.place.naver.com/place/37775617/home</v>
      </c>
      <c r="F91" s="14"/>
      <c r="G91" s="14"/>
      <c r="H91" s="14"/>
      <c r="I91" s="14"/>
      <c r="J91" s="14"/>
      <c r="K91" s="14"/>
      <c r="L91" s="14"/>
      <c r="M91" s="14"/>
      <c r="N91" s="14"/>
      <c r="O91" s="241"/>
      <c r="P91" s="14"/>
      <c r="Q91" s="14"/>
      <c r="R91" s="14"/>
      <c r="S91" s="14"/>
      <c r="T91" s="14"/>
      <c r="U91" s="14"/>
      <c r="V91" s="14"/>
      <c r="W91" s="243"/>
      <c r="X91" s="243"/>
      <c r="Y91" s="243"/>
      <c r="Z91" s="243"/>
      <c r="AA91" s="243"/>
      <c r="AB91" s="14"/>
      <c r="AC91" s="14"/>
      <c r="AD91" s="14"/>
      <c r="AE91" s="14"/>
      <c r="AF91" s="14"/>
      <c r="AG91" s="14"/>
    </row>
    <row r="92" spans="1:33" s="116" customFormat="1" ht="20.100000000000001" customHeight="1">
      <c r="A92" s="14"/>
      <c r="C92" s="14">
        <v>2021830539</v>
      </c>
      <c r="D92" s="14" t="s">
        <v>349</v>
      </c>
      <c r="E92" s="282" t="s">
        <v>397</v>
      </c>
      <c r="F92" s="14"/>
      <c r="G92" s="14"/>
      <c r="H92" s="14"/>
      <c r="I92" s="14"/>
      <c r="J92" s="14"/>
      <c r="K92" s="14"/>
      <c r="L92" s="14"/>
      <c r="M92" s="14"/>
      <c r="N92" s="14"/>
      <c r="O92" s="241"/>
      <c r="P92" s="14"/>
      <c r="Q92" s="14"/>
      <c r="R92" s="14"/>
      <c r="S92" s="14"/>
      <c r="T92" s="14"/>
      <c r="U92" s="14"/>
      <c r="V92" s="14"/>
      <c r="W92" s="243"/>
      <c r="X92" s="243"/>
      <c r="Y92" s="243"/>
      <c r="Z92" s="243"/>
      <c r="AA92" s="243"/>
      <c r="AB92" s="14"/>
      <c r="AC92" s="14"/>
      <c r="AD92" s="14"/>
      <c r="AE92" s="14"/>
      <c r="AF92" s="14"/>
      <c r="AG92" s="14"/>
    </row>
    <row r="93" spans="1:33" s="116" customFormat="1" ht="20.100000000000001" customHeight="1">
      <c r="A93" s="14"/>
      <c r="C93" s="14">
        <v>1642603227</v>
      </c>
      <c r="D93" s="14" t="s">
        <v>211</v>
      </c>
      <c r="E93" s="282" t="s">
        <v>395</v>
      </c>
      <c r="F93" s="14"/>
      <c r="G93" s="14"/>
      <c r="H93" s="14"/>
      <c r="I93" s="14"/>
      <c r="J93" s="14"/>
      <c r="K93" s="14"/>
      <c r="L93" s="14"/>
      <c r="M93" s="14"/>
      <c r="N93" s="14"/>
      <c r="O93" s="241"/>
      <c r="P93" s="14"/>
      <c r="Q93" s="14"/>
      <c r="R93" s="14"/>
      <c r="S93" s="14"/>
      <c r="T93" s="14"/>
      <c r="U93" s="14"/>
      <c r="V93" s="14"/>
      <c r="W93" s="243"/>
      <c r="X93" s="243"/>
      <c r="Y93" s="243"/>
      <c r="Z93" s="243"/>
      <c r="AA93" s="243"/>
      <c r="AB93" s="14"/>
      <c r="AC93" s="14"/>
      <c r="AD93" s="14"/>
      <c r="AE93" s="14"/>
      <c r="AF93" s="14"/>
      <c r="AG93" s="14"/>
    </row>
    <row r="94" spans="1:33" s="116" customFormat="1" ht="20.100000000000001" customHeight="1">
      <c r="A94" s="14"/>
      <c r="C94" s="14"/>
      <c r="D94" s="14" t="s">
        <v>372</v>
      </c>
      <c r="E94" s="282"/>
      <c r="F94" s="14"/>
      <c r="G94" s="14"/>
      <c r="H94" s="14"/>
      <c r="I94" s="14"/>
      <c r="J94" s="14"/>
      <c r="K94" s="14"/>
      <c r="L94" s="14"/>
      <c r="M94" s="14"/>
      <c r="N94" s="14"/>
      <c r="O94" s="241"/>
      <c r="P94" s="14"/>
      <c r="Q94" s="14"/>
      <c r="R94" s="14"/>
      <c r="S94" s="14"/>
      <c r="T94" s="14"/>
      <c r="U94" s="14"/>
      <c r="V94" s="14"/>
      <c r="W94" s="243"/>
      <c r="X94" s="243"/>
      <c r="Y94" s="243"/>
      <c r="Z94" s="243"/>
      <c r="AA94" s="243"/>
      <c r="AB94" s="14"/>
      <c r="AC94" s="14"/>
      <c r="AD94" s="14"/>
      <c r="AE94" s="14"/>
      <c r="AF94" s="14"/>
      <c r="AG94" s="14"/>
    </row>
    <row r="95" spans="1:33" s="116" customFormat="1" ht="20.100000000000001" customHeight="1">
      <c r="A95" s="14"/>
      <c r="C95" s="14"/>
      <c r="D95" s="14" t="s">
        <v>564</v>
      </c>
      <c r="E95" s="282"/>
      <c r="F95" s="14"/>
      <c r="G95" s="14"/>
      <c r="H95" s="14"/>
      <c r="I95" s="14"/>
      <c r="J95" s="14"/>
      <c r="K95" s="14"/>
      <c r="L95" s="14"/>
      <c r="M95" s="14"/>
      <c r="N95" s="14"/>
      <c r="O95" s="241"/>
      <c r="P95" s="14"/>
      <c r="Q95" s="14"/>
      <c r="R95" s="14"/>
      <c r="S95" s="14"/>
      <c r="T95" s="14"/>
      <c r="U95" s="14"/>
      <c r="V95" s="14"/>
      <c r="W95" s="243"/>
      <c r="X95" s="243"/>
      <c r="Y95" s="243"/>
      <c r="Z95" s="243"/>
      <c r="AA95" s="243"/>
      <c r="AB95" s="14"/>
      <c r="AC95" s="14"/>
      <c r="AD95" s="14"/>
      <c r="AE95" s="14"/>
      <c r="AF95" s="14"/>
      <c r="AG95" s="14"/>
    </row>
    <row r="96" spans="1:33" s="116" customFormat="1" ht="20.100000000000001" customHeight="1">
      <c r="A96" s="14"/>
      <c r="C96" s="14"/>
      <c r="D96" s="14" t="s">
        <v>40</v>
      </c>
      <c r="E96" s="282"/>
      <c r="F96" s="14"/>
      <c r="G96" s="14"/>
      <c r="H96" s="14"/>
      <c r="I96" s="14"/>
      <c r="J96" s="14"/>
      <c r="K96" s="14"/>
      <c r="L96" s="14"/>
      <c r="M96" s="14"/>
      <c r="N96" s="14"/>
      <c r="O96" s="241"/>
      <c r="P96" s="14"/>
      <c r="Q96" s="14"/>
      <c r="R96" s="14"/>
      <c r="S96" s="14"/>
      <c r="T96" s="14"/>
      <c r="U96" s="14"/>
      <c r="V96" s="14"/>
      <c r="W96" s="243"/>
      <c r="X96" s="243"/>
      <c r="Y96" s="243"/>
      <c r="Z96" s="243"/>
      <c r="AA96" s="243"/>
      <c r="AB96" s="14"/>
      <c r="AC96" s="14"/>
      <c r="AD96" s="14"/>
      <c r="AE96" s="14"/>
      <c r="AF96" s="14"/>
      <c r="AG96" s="14"/>
    </row>
    <row r="97" spans="1:36" s="116" customFormat="1" ht="20.100000000000001" customHeight="1">
      <c r="A97" s="14"/>
      <c r="C97" s="14"/>
      <c r="D97" s="14" t="s">
        <v>18</v>
      </c>
      <c r="E97" s="282"/>
      <c r="F97" s="14"/>
      <c r="G97" s="14"/>
      <c r="H97" s="14"/>
      <c r="I97" s="14"/>
      <c r="J97" s="14"/>
      <c r="K97" s="14"/>
      <c r="L97" s="14"/>
      <c r="M97" s="14"/>
      <c r="N97" s="14"/>
      <c r="O97" s="241"/>
      <c r="P97" s="14"/>
      <c r="Q97" s="14"/>
      <c r="R97" s="14"/>
      <c r="S97" s="14"/>
      <c r="T97" s="14"/>
      <c r="U97" s="14"/>
      <c r="V97" s="14"/>
      <c r="W97" s="243"/>
      <c r="X97" s="243"/>
      <c r="Y97" s="243"/>
      <c r="Z97" s="243"/>
      <c r="AA97" s="243"/>
      <c r="AB97" s="14"/>
      <c r="AC97" s="14"/>
      <c r="AD97" s="14"/>
      <c r="AE97" s="14"/>
      <c r="AF97" s="14"/>
      <c r="AG97" s="14"/>
    </row>
    <row r="98" spans="1:36" s="116" customFormat="1" ht="20.100000000000001" customHeight="1">
      <c r="A98" s="14"/>
      <c r="C98" s="14"/>
      <c r="D98" s="14" t="s">
        <v>565</v>
      </c>
      <c r="E98" s="282"/>
      <c r="F98" s="14"/>
      <c r="G98" s="14"/>
      <c r="H98" s="14"/>
      <c r="I98" s="14"/>
      <c r="J98" s="14"/>
      <c r="K98" s="14"/>
      <c r="L98" s="14"/>
      <c r="M98" s="14"/>
      <c r="N98" s="14"/>
      <c r="O98" s="241"/>
      <c r="P98" s="14"/>
      <c r="Q98" s="14"/>
      <c r="R98" s="14"/>
      <c r="S98" s="14"/>
      <c r="T98" s="14"/>
      <c r="U98" s="14"/>
      <c r="V98" s="14"/>
      <c r="W98" s="243"/>
      <c r="X98" s="243"/>
      <c r="Y98" s="243"/>
      <c r="Z98" s="243"/>
      <c r="AA98" s="243"/>
      <c r="AB98" s="14"/>
      <c r="AC98" s="14"/>
      <c r="AD98" s="14"/>
      <c r="AE98" s="14"/>
      <c r="AF98" s="14"/>
      <c r="AG98" s="14"/>
    </row>
    <row r="99" spans="1:36" s="116" customFormat="1" ht="20.100000000000001" customHeight="1">
      <c r="A99" s="14"/>
      <c r="C99" s="14"/>
      <c r="D99" s="14" t="s">
        <v>165</v>
      </c>
      <c r="E99" s="282"/>
      <c r="F99" s="14"/>
      <c r="G99" s="14"/>
      <c r="H99" s="14"/>
      <c r="I99" s="14"/>
      <c r="J99" s="14"/>
      <c r="K99" s="14"/>
      <c r="L99" s="14"/>
      <c r="M99" s="14"/>
      <c r="N99" s="14"/>
      <c r="O99" s="241"/>
      <c r="P99" s="14"/>
      <c r="Q99" s="14"/>
      <c r="R99" s="14"/>
      <c r="S99" s="14"/>
      <c r="T99" s="14"/>
      <c r="U99" s="14"/>
      <c r="V99" s="14"/>
      <c r="W99" s="243"/>
      <c r="X99" s="243"/>
      <c r="Y99" s="243"/>
      <c r="Z99" s="243"/>
      <c r="AA99" s="243"/>
      <c r="AB99" s="14"/>
      <c r="AC99" s="14"/>
      <c r="AD99" s="14"/>
      <c r="AE99" s="14"/>
      <c r="AF99" s="14"/>
      <c r="AG99" s="14"/>
    </row>
    <row r="100" spans="1:36" s="116" customFormat="1" ht="20.100000000000001" customHeight="1">
      <c r="A100" s="14"/>
      <c r="C100" s="14"/>
      <c r="D100" s="14" t="s">
        <v>349</v>
      </c>
      <c r="E100" s="282"/>
      <c r="F100" s="14"/>
      <c r="G100" s="14"/>
      <c r="H100" s="14"/>
      <c r="I100" s="14"/>
      <c r="J100" s="14"/>
      <c r="K100" s="14"/>
      <c r="L100" s="14"/>
      <c r="M100" s="14"/>
      <c r="N100" s="14"/>
      <c r="O100" s="241"/>
      <c r="P100" s="14"/>
      <c r="Q100" s="14"/>
      <c r="R100" s="14"/>
      <c r="S100" s="14"/>
      <c r="T100" s="14"/>
      <c r="U100" s="14"/>
      <c r="V100" s="14"/>
      <c r="W100" s="243"/>
      <c r="X100" s="243"/>
      <c r="Y100" s="243"/>
      <c r="Z100" s="243"/>
      <c r="AA100" s="243"/>
      <c r="AB100" s="14"/>
      <c r="AC100" s="14"/>
      <c r="AD100" s="14"/>
      <c r="AE100" s="14"/>
      <c r="AF100" s="14"/>
      <c r="AG100" s="14"/>
    </row>
    <row r="101" spans="1:36" s="116" customFormat="1" ht="20.100000000000001" customHeight="1">
      <c r="A101" s="14"/>
      <c r="C101" s="14"/>
      <c r="D101" s="14" t="s">
        <v>173</v>
      </c>
      <c r="E101" s="282"/>
      <c r="F101" s="14"/>
      <c r="G101" s="14"/>
      <c r="H101" s="14"/>
      <c r="I101" s="14"/>
      <c r="J101" s="14"/>
      <c r="K101" s="14"/>
      <c r="L101" s="14"/>
      <c r="M101" s="14"/>
      <c r="N101" s="14"/>
      <c r="O101" s="241"/>
      <c r="P101" s="14"/>
      <c r="Q101" s="14"/>
      <c r="R101" s="14"/>
      <c r="S101" s="14"/>
      <c r="T101" s="14"/>
      <c r="U101" s="14"/>
      <c r="V101" s="14"/>
      <c r="W101" s="243"/>
      <c r="X101" s="243"/>
      <c r="Y101" s="243"/>
      <c r="Z101" s="243"/>
      <c r="AA101" s="243"/>
      <c r="AB101" s="14"/>
      <c r="AC101" s="14"/>
      <c r="AD101" s="14"/>
      <c r="AE101" s="14"/>
      <c r="AF101" s="14"/>
      <c r="AG101" s="14"/>
    </row>
    <row r="102" spans="1:36" s="116" customFormat="1" ht="20.100000000000001" customHeight="1">
      <c r="A102" s="14"/>
      <c r="C102" s="14">
        <v>2022575390</v>
      </c>
      <c r="D102" s="14" t="s">
        <v>413</v>
      </c>
      <c r="E102" s="278" t="str">
        <f>"https://m.place.naver.com/place/" &amp;C102 &amp; "/home"</f>
        <v>https://m.place.naver.com/place/2022575390/home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241"/>
      <c r="P102" s="14"/>
      <c r="Q102" s="14"/>
      <c r="R102" s="14"/>
      <c r="S102" s="14"/>
      <c r="T102" s="14"/>
      <c r="U102" s="14"/>
      <c r="V102" s="14"/>
      <c r="W102" s="243"/>
      <c r="X102" s="243"/>
      <c r="Y102" s="243"/>
      <c r="Z102" s="243"/>
      <c r="AA102" s="243"/>
      <c r="AB102" s="14"/>
      <c r="AC102" s="14"/>
      <c r="AD102" s="14"/>
      <c r="AE102" s="14"/>
      <c r="AF102" s="14"/>
      <c r="AG102" s="14"/>
    </row>
    <row r="103" spans="1:36" s="116" customFormat="1" ht="20.100000000000001" customHeight="1">
      <c r="A103" s="14"/>
      <c r="C103" s="14">
        <v>1768171911</v>
      </c>
      <c r="D103" s="14" t="s">
        <v>411</v>
      </c>
      <c r="E103" s="278" t="str">
        <f>"https://m.place.naver.com/place/" &amp;C103 &amp; "/home"</f>
        <v>https://m.place.naver.com/place/1768171911/home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241"/>
      <c r="P103" s="14"/>
      <c r="Q103" s="14"/>
      <c r="R103" s="14"/>
      <c r="S103" s="14"/>
      <c r="T103" s="14"/>
      <c r="U103" s="14"/>
      <c r="V103" s="14"/>
      <c r="W103" s="243"/>
      <c r="X103" s="243"/>
      <c r="Y103" s="243"/>
      <c r="Z103" s="243"/>
      <c r="AA103" s="243"/>
      <c r="AB103" s="14"/>
      <c r="AC103" s="14"/>
      <c r="AD103" s="14"/>
      <c r="AE103" s="14"/>
      <c r="AF103" s="14"/>
      <c r="AG103" s="14"/>
    </row>
    <row r="104" spans="1:36" s="116" customFormat="1" ht="20.100000000000001" customHeight="1">
      <c r="A104" s="14"/>
      <c r="C104" s="14"/>
      <c r="D104" s="14" t="s">
        <v>503</v>
      </c>
      <c r="E104" s="278" t="str">
        <f>"https://m.place.naver.com/place/" &amp;C104 &amp; "/home"</f>
        <v>https://m.place.naver.com/place//home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241"/>
      <c r="P104" s="14"/>
      <c r="Q104" s="14"/>
      <c r="R104" s="14"/>
      <c r="S104" s="14"/>
      <c r="T104" s="14"/>
      <c r="U104" s="14"/>
      <c r="V104" s="14"/>
      <c r="W104" s="243"/>
      <c r="X104" s="243"/>
      <c r="Y104" s="243"/>
      <c r="Z104" s="243"/>
      <c r="AA104" s="243"/>
      <c r="AB104" s="244"/>
      <c r="AC104" s="244"/>
      <c r="AD104" s="14"/>
      <c r="AE104" s="14"/>
      <c r="AF104" s="14"/>
      <c r="AG104" s="14"/>
    </row>
    <row r="105" spans="1:36" s="116" customFormat="1" ht="20.100000000000001" customHeight="1">
      <c r="A105" s="14"/>
      <c r="C105" s="14"/>
      <c r="D105" s="14"/>
      <c r="E105" s="282"/>
      <c r="F105" s="14"/>
      <c r="G105" s="14"/>
      <c r="H105" s="14"/>
      <c r="I105" s="14"/>
      <c r="J105" s="14"/>
      <c r="K105" s="14"/>
      <c r="L105" s="14"/>
      <c r="M105" s="14"/>
      <c r="N105" s="14"/>
      <c r="O105" s="241"/>
      <c r="P105" s="14"/>
      <c r="Q105" s="14"/>
      <c r="R105" s="14"/>
      <c r="S105" s="14"/>
      <c r="T105" s="14"/>
      <c r="U105" s="14"/>
      <c r="V105" s="14"/>
      <c r="W105" s="243"/>
      <c r="X105" s="243"/>
      <c r="Y105" s="243"/>
      <c r="Z105" s="243"/>
      <c r="AA105" s="243"/>
      <c r="AB105" s="14"/>
      <c r="AC105" s="14"/>
      <c r="AD105" s="14"/>
      <c r="AE105" s="14"/>
      <c r="AF105" s="14"/>
      <c r="AG105" s="14"/>
    </row>
    <row r="106" spans="1:36" s="116" customFormat="1" ht="20.100000000000001" customHeight="1">
      <c r="A106" s="14"/>
      <c r="C106" s="14"/>
      <c r="D106" s="14" t="s">
        <v>125</v>
      </c>
      <c r="E106" s="282"/>
      <c r="F106" s="14"/>
      <c r="G106" s="14"/>
      <c r="H106" s="14"/>
      <c r="I106" s="14"/>
      <c r="J106" s="14"/>
      <c r="K106" s="14"/>
      <c r="L106" s="14"/>
      <c r="M106" s="14"/>
      <c r="N106" s="14"/>
      <c r="O106" s="241"/>
      <c r="P106" s="14"/>
      <c r="Q106" s="14"/>
      <c r="R106" s="14"/>
      <c r="S106" s="14"/>
      <c r="T106" s="14"/>
      <c r="U106" s="14"/>
      <c r="V106" s="14"/>
      <c r="W106" s="243"/>
      <c r="X106" s="243"/>
      <c r="Y106" s="243"/>
      <c r="Z106" s="243"/>
      <c r="AA106" s="243"/>
      <c r="AB106" s="14"/>
      <c r="AC106" s="14"/>
      <c r="AD106" s="14"/>
      <c r="AE106" s="14"/>
      <c r="AF106" s="14"/>
      <c r="AG106" s="14"/>
      <c r="AJ106" s="116">
        <v>64680</v>
      </c>
    </row>
    <row r="107" spans="1:36" s="116" customFormat="1" ht="20.100000000000001" customHeight="1">
      <c r="A107" s="14"/>
      <c r="C107" s="14"/>
      <c r="D107" s="14" t="s">
        <v>49</v>
      </c>
      <c r="E107" s="282"/>
      <c r="F107" s="14"/>
      <c r="G107" s="14"/>
      <c r="H107" s="14"/>
      <c r="I107" s="14"/>
      <c r="J107" s="14"/>
      <c r="K107" s="14"/>
      <c r="L107" s="14"/>
      <c r="M107" s="14"/>
      <c r="N107" s="14"/>
      <c r="O107" s="241"/>
      <c r="P107" s="14"/>
      <c r="Q107" s="14"/>
      <c r="R107" s="14"/>
      <c r="S107" s="14"/>
      <c r="T107" s="14"/>
      <c r="U107" s="14"/>
      <c r="V107" s="14"/>
      <c r="W107" s="243"/>
      <c r="X107" s="243"/>
      <c r="Y107" s="243"/>
      <c r="Z107" s="243"/>
      <c r="AA107" s="243"/>
      <c r="AB107" s="14"/>
      <c r="AC107" s="14"/>
      <c r="AD107" s="14"/>
      <c r="AE107" s="14"/>
      <c r="AF107" s="14"/>
      <c r="AG107" s="14"/>
    </row>
    <row r="108" spans="1:36" s="116" customFormat="1" ht="20.100000000000001" customHeight="1">
      <c r="A108" s="14"/>
      <c r="C108" s="14"/>
      <c r="D108" s="14"/>
      <c r="E108" s="282"/>
      <c r="F108" s="14"/>
      <c r="G108" s="14"/>
      <c r="H108" s="14"/>
      <c r="I108" s="14"/>
      <c r="J108" s="14"/>
      <c r="K108" s="14"/>
      <c r="L108" s="14"/>
      <c r="M108" s="14"/>
      <c r="N108" s="14"/>
      <c r="O108" s="241"/>
      <c r="P108" s="14"/>
      <c r="Q108" s="14"/>
      <c r="R108" s="14"/>
      <c r="S108" s="14"/>
      <c r="T108" s="14"/>
      <c r="U108" s="14"/>
      <c r="V108" s="14"/>
      <c r="W108" s="243"/>
      <c r="X108" s="243"/>
      <c r="Y108" s="243"/>
      <c r="Z108" s="243"/>
      <c r="AA108" s="243"/>
      <c r="AB108" s="14"/>
      <c r="AC108" s="14"/>
      <c r="AD108" s="14"/>
      <c r="AE108" s="14"/>
      <c r="AF108" s="14"/>
      <c r="AG108" s="14"/>
    </row>
    <row r="109" spans="1:36" s="116" customFormat="1" ht="23.25" customHeight="1">
      <c r="A109" s="14"/>
      <c r="B109" s="14"/>
      <c r="C109" s="14">
        <v>1761921683</v>
      </c>
      <c r="D109" s="14" t="s">
        <v>502</v>
      </c>
      <c r="E109" s="278" t="str">
        <f>"https://m.place.naver.com/place/" &amp;C109 &amp; "/home"</f>
        <v>https://m.place.naver.com/place/1761921683/home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241"/>
      <c r="P109" s="14"/>
      <c r="Q109" s="14"/>
      <c r="R109" s="242"/>
      <c r="S109" s="215"/>
      <c r="T109" s="216"/>
      <c r="U109" s="242"/>
      <c r="V109" s="242"/>
      <c r="W109" s="243"/>
      <c r="X109" s="243"/>
      <c r="Y109" s="243"/>
      <c r="Z109" s="243"/>
      <c r="AA109" s="243"/>
      <c r="AB109" s="244"/>
      <c r="AC109" s="244"/>
      <c r="AD109" s="14"/>
      <c r="AE109" s="14"/>
      <c r="AF109" s="14"/>
      <c r="AG109" s="14"/>
    </row>
    <row r="110" spans="1:36" s="116" customFormat="1" ht="23.25" customHeight="1">
      <c r="A110" s="14" t="s">
        <v>508</v>
      </c>
      <c r="B110" s="239">
        <v>45994</v>
      </c>
      <c r="C110" s="14">
        <v>2011495902</v>
      </c>
      <c r="D110" s="14" t="s">
        <v>346</v>
      </c>
      <c r="E110" s="278" t="str">
        <f>"https://m.place.naver.com/place/" &amp;C110 &amp; "/home"</f>
        <v>https://m.place.naver.com/place/2011495902/home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241"/>
      <c r="P110" s="14"/>
      <c r="Q110" s="14"/>
      <c r="R110" s="242"/>
      <c r="S110" s="215"/>
      <c r="T110" s="216"/>
      <c r="U110" s="242"/>
      <c r="V110" s="242"/>
      <c r="W110" s="243"/>
      <c r="X110" s="243"/>
      <c r="Y110" s="243"/>
      <c r="Z110" s="243"/>
      <c r="AA110" s="243"/>
      <c r="AB110" s="14"/>
      <c r="AC110" s="14"/>
      <c r="AD110" s="14"/>
      <c r="AE110" s="14"/>
      <c r="AF110" s="14"/>
      <c r="AG110" s="14"/>
    </row>
    <row r="111" spans="1:36" s="116" customFormat="1" ht="23.25" customHeight="1">
      <c r="A111" s="14"/>
      <c r="B111" s="14"/>
      <c r="C111" s="14">
        <v>2036330504</v>
      </c>
      <c r="D111" s="14" t="s">
        <v>347</v>
      </c>
      <c r="E111" s="278" t="str">
        <f>"https://m.place.naver.com/place/" &amp;C111 &amp; "/home"</f>
        <v>https://m.place.naver.com/place/2036330504/home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241"/>
      <c r="P111" s="14"/>
      <c r="Q111" s="14"/>
      <c r="R111" s="242"/>
      <c r="S111" s="215"/>
      <c r="T111" s="216"/>
      <c r="U111" s="242"/>
      <c r="V111" s="242"/>
      <c r="W111" s="243"/>
      <c r="X111" s="243"/>
      <c r="Y111" s="243"/>
      <c r="Z111" s="243"/>
      <c r="AA111" s="243"/>
      <c r="AB111" s="14"/>
      <c r="AC111" s="14"/>
      <c r="AD111" s="14"/>
      <c r="AE111" s="14"/>
      <c r="AF111" s="14"/>
      <c r="AG111" s="14"/>
    </row>
    <row r="112" spans="1:36" s="116" customFormat="1" ht="23.25" customHeight="1">
      <c r="A112" s="14"/>
      <c r="B112" s="14"/>
      <c r="C112" s="14">
        <v>2048523733</v>
      </c>
      <c r="D112" s="14" t="s">
        <v>500</v>
      </c>
      <c r="E112" s="278" t="str">
        <f>"https://m.place.naver.com/place/" &amp;C112 &amp; "/home"</f>
        <v>https://m.place.naver.com/place/2048523733/home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241"/>
      <c r="P112" s="14"/>
      <c r="Q112" s="14"/>
      <c r="R112" s="242"/>
      <c r="S112" s="215"/>
      <c r="T112" s="216"/>
      <c r="U112" s="242"/>
      <c r="V112" s="242"/>
      <c r="W112" s="243"/>
      <c r="X112" s="243"/>
      <c r="Y112" s="243"/>
      <c r="Z112" s="243"/>
      <c r="AA112" s="243"/>
      <c r="AB112" s="244"/>
      <c r="AC112" s="244"/>
      <c r="AD112" s="14"/>
      <c r="AE112" s="14"/>
      <c r="AF112" s="14"/>
      <c r="AG112" s="14"/>
    </row>
    <row r="113" spans="1:33" s="116" customFormat="1" ht="23.25" customHeight="1">
      <c r="A113" s="14"/>
      <c r="B113" s="14"/>
      <c r="C113" s="14">
        <v>2095974921</v>
      </c>
      <c r="D113" s="14" t="s">
        <v>501</v>
      </c>
      <c r="E113" s="278" t="str">
        <f>"https://m.place.naver.com/place/" &amp;C113 &amp; "/home"</f>
        <v>https://m.place.naver.com/place/2095974921/home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241"/>
      <c r="P113" s="14"/>
      <c r="Q113" s="14"/>
      <c r="R113" s="242"/>
      <c r="S113" s="215"/>
      <c r="T113" s="216"/>
      <c r="U113" s="242"/>
      <c r="V113" s="242"/>
      <c r="W113" s="243"/>
      <c r="X113" s="243"/>
      <c r="Y113" s="243"/>
      <c r="Z113" s="243"/>
      <c r="AA113" s="243"/>
      <c r="AB113" s="244"/>
      <c r="AC113" s="244"/>
      <c r="AD113" s="14"/>
      <c r="AE113" s="14"/>
      <c r="AF113" s="14"/>
      <c r="AG113" s="14"/>
    </row>
    <row r="114" spans="1:33" s="116" customFormat="1" ht="20.100000000000001" customHeight="1">
      <c r="A114" s="14"/>
      <c r="C114" s="14"/>
      <c r="D114" s="14"/>
      <c r="E114" s="282"/>
      <c r="F114" s="14"/>
      <c r="G114" s="14"/>
      <c r="H114" s="14"/>
      <c r="I114" s="14"/>
      <c r="J114" s="14"/>
      <c r="K114" s="14"/>
      <c r="L114" s="14"/>
      <c r="M114" s="14"/>
      <c r="N114" s="14"/>
      <c r="O114" s="241"/>
      <c r="P114" s="14"/>
      <c r="Q114" s="14"/>
      <c r="R114" s="14"/>
      <c r="S114" s="14"/>
      <c r="T114" s="14"/>
      <c r="U114" s="14"/>
      <c r="V114" s="14"/>
      <c r="W114" s="243"/>
      <c r="X114" s="243"/>
      <c r="Y114" s="243"/>
      <c r="Z114" s="243"/>
      <c r="AA114" s="243"/>
      <c r="AB114" s="14"/>
      <c r="AC114" s="14"/>
      <c r="AD114" s="14"/>
      <c r="AE114" s="14"/>
      <c r="AF114" s="14"/>
      <c r="AG114" s="14"/>
    </row>
    <row r="115" spans="1:33" s="116" customFormat="1" ht="20.100000000000001" customHeight="1">
      <c r="A115" s="14"/>
      <c r="C115" s="14"/>
      <c r="D115" s="14" t="s">
        <v>133</v>
      </c>
      <c r="E115" s="282"/>
      <c r="F115" s="14"/>
      <c r="G115" s="14"/>
      <c r="H115" s="14"/>
      <c r="I115" s="14"/>
      <c r="J115" s="14"/>
      <c r="K115" s="14"/>
      <c r="L115" s="14"/>
      <c r="M115" s="14"/>
      <c r="N115" s="14"/>
      <c r="O115" s="241"/>
      <c r="P115" s="14"/>
      <c r="Q115" s="14"/>
      <c r="R115" s="14"/>
      <c r="S115" s="14"/>
      <c r="T115" s="14"/>
      <c r="U115" s="14"/>
      <c r="V115" s="14"/>
      <c r="W115" s="243"/>
      <c r="X115" s="243"/>
      <c r="Y115" s="243"/>
      <c r="Z115" s="243"/>
      <c r="AA115" s="243"/>
      <c r="AB115" s="14"/>
      <c r="AC115" s="14"/>
      <c r="AD115" s="14"/>
      <c r="AE115" s="14"/>
      <c r="AF115" s="14"/>
      <c r="AG115" s="14"/>
    </row>
    <row r="116" spans="1:33" s="116" customFormat="1" ht="20.100000000000001" customHeight="1">
      <c r="A116" s="14"/>
      <c r="C116" s="14"/>
      <c r="D116" s="14" t="s">
        <v>131</v>
      </c>
      <c r="E116" s="282"/>
      <c r="F116" s="14"/>
      <c r="G116" s="14"/>
      <c r="H116" s="14"/>
      <c r="I116" s="14"/>
      <c r="J116" s="14"/>
      <c r="K116" s="14"/>
      <c r="L116" s="14"/>
      <c r="M116" s="14"/>
      <c r="N116" s="14"/>
      <c r="O116" s="241"/>
      <c r="P116" s="14"/>
      <c r="Q116" s="14"/>
      <c r="R116" s="14"/>
      <c r="S116" s="14"/>
      <c r="T116" s="14"/>
      <c r="U116" s="14"/>
      <c r="V116" s="14"/>
      <c r="W116" s="243"/>
      <c r="X116" s="243"/>
      <c r="Y116" s="243"/>
      <c r="Z116" s="243"/>
      <c r="AA116" s="243"/>
      <c r="AB116" s="14"/>
      <c r="AC116" s="14"/>
      <c r="AD116" s="14"/>
      <c r="AE116" s="14"/>
      <c r="AF116" s="14"/>
      <c r="AG116" s="14"/>
    </row>
    <row r="117" spans="1:33" s="116" customFormat="1" ht="20.100000000000001" customHeight="1">
      <c r="A117" s="14"/>
      <c r="C117" s="14"/>
      <c r="D117" s="14" t="s">
        <v>132</v>
      </c>
      <c r="E117" s="282"/>
      <c r="F117" s="14"/>
      <c r="G117" s="14"/>
      <c r="H117" s="14"/>
      <c r="I117" s="14"/>
      <c r="J117" s="14"/>
      <c r="K117" s="14"/>
      <c r="L117" s="14"/>
      <c r="M117" s="14"/>
      <c r="N117" s="14"/>
      <c r="O117" s="241"/>
      <c r="P117" s="14"/>
      <c r="Q117" s="14"/>
      <c r="R117" s="14"/>
      <c r="S117" s="14"/>
      <c r="T117" s="14"/>
      <c r="U117" s="14"/>
      <c r="V117" s="14"/>
      <c r="W117" s="243"/>
      <c r="X117" s="243"/>
      <c r="Y117" s="243"/>
      <c r="Z117" s="243"/>
      <c r="AA117" s="243"/>
      <c r="AB117" s="14"/>
      <c r="AC117" s="14"/>
      <c r="AD117" s="14"/>
      <c r="AE117" s="14"/>
      <c r="AF117" s="14"/>
      <c r="AG117" s="14"/>
    </row>
    <row r="118" spans="1:33" s="116" customFormat="1" ht="20.100000000000001" customHeight="1">
      <c r="A118" s="14"/>
      <c r="C118" s="14"/>
      <c r="D118" s="14"/>
      <c r="E118" s="282"/>
      <c r="F118" s="14"/>
      <c r="G118" s="14"/>
      <c r="H118" s="14"/>
      <c r="I118" s="14"/>
      <c r="J118" s="14"/>
      <c r="K118" s="14"/>
      <c r="L118" s="14"/>
      <c r="M118" s="14"/>
      <c r="N118" s="14"/>
      <c r="O118" s="241"/>
      <c r="P118" s="14"/>
      <c r="Q118" s="14"/>
      <c r="R118" s="14"/>
      <c r="S118" s="14"/>
      <c r="T118" s="14"/>
      <c r="U118" s="14"/>
      <c r="V118" s="14"/>
      <c r="W118" s="243"/>
      <c r="X118" s="243"/>
      <c r="Y118" s="243"/>
      <c r="Z118" s="243"/>
      <c r="AA118" s="243"/>
      <c r="AB118" s="14"/>
      <c r="AC118" s="14"/>
      <c r="AD118" s="14"/>
      <c r="AE118" s="14"/>
      <c r="AF118" s="14"/>
      <c r="AG118" s="14"/>
    </row>
    <row r="119" spans="1:33" s="116" customFormat="1" ht="20.100000000000001" customHeight="1">
      <c r="A119" s="14"/>
      <c r="C119" s="14"/>
      <c r="D119" s="14"/>
      <c r="E119" s="282"/>
      <c r="F119" s="14"/>
      <c r="G119" s="14"/>
      <c r="H119" s="14"/>
      <c r="I119" s="14"/>
      <c r="J119" s="14"/>
      <c r="K119" s="14"/>
      <c r="L119" s="14"/>
      <c r="M119" s="14"/>
      <c r="N119" s="14"/>
      <c r="O119" s="241"/>
      <c r="P119" s="14"/>
      <c r="Q119" s="14"/>
      <c r="R119" s="14"/>
      <c r="S119" s="14"/>
      <c r="T119" s="14"/>
      <c r="U119" s="14"/>
      <c r="V119" s="14"/>
      <c r="W119" s="243"/>
      <c r="X119" s="243"/>
      <c r="Y119" s="243"/>
      <c r="Z119" s="243"/>
      <c r="AA119" s="243"/>
      <c r="AB119" s="14"/>
      <c r="AC119" s="14"/>
      <c r="AD119" s="14"/>
      <c r="AE119" s="14"/>
      <c r="AF119" s="14"/>
      <c r="AG119" s="14"/>
    </row>
    <row r="120" spans="1:33" s="116" customFormat="1" ht="20.100000000000001" customHeight="1">
      <c r="A120" s="14"/>
      <c r="C120" s="14"/>
      <c r="D120" s="14"/>
      <c r="E120" s="282"/>
      <c r="F120" s="14"/>
      <c r="G120" s="14"/>
      <c r="H120" s="14"/>
      <c r="I120" s="14"/>
      <c r="J120" s="14"/>
      <c r="K120" s="14"/>
      <c r="L120" s="14"/>
      <c r="M120" s="14"/>
      <c r="N120" s="14"/>
      <c r="O120" s="241"/>
      <c r="P120" s="14"/>
      <c r="Q120" s="14"/>
      <c r="R120" s="14"/>
      <c r="S120" s="14"/>
      <c r="T120" s="14"/>
      <c r="U120" s="14"/>
      <c r="V120" s="14"/>
      <c r="W120" s="243"/>
      <c r="X120" s="243"/>
      <c r="Y120" s="243"/>
      <c r="Z120" s="243"/>
      <c r="AA120" s="243"/>
      <c r="AB120" s="14"/>
      <c r="AC120" s="14"/>
      <c r="AD120" s="14"/>
      <c r="AE120" s="14"/>
      <c r="AF120" s="14"/>
      <c r="AG120" s="14"/>
    </row>
    <row r="121" spans="1:33" s="116" customFormat="1" ht="20.100000000000001" customHeight="1">
      <c r="A121" s="14"/>
      <c r="C121" s="14"/>
      <c r="D121" s="14"/>
      <c r="E121" s="282"/>
      <c r="F121" s="14"/>
      <c r="G121" s="14"/>
      <c r="H121" s="14"/>
      <c r="I121" s="14"/>
      <c r="J121" s="14"/>
      <c r="K121" s="14"/>
      <c r="L121" s="14"/>
      <c r="M121" s="14"/>
      <c r="N121" s="14"/>
      <c r="O121" s="241"/>
      <c r="P121" s="14"/>
      <c r="Q121" s="14"/>
      <c r="R121" s="14"/>
      <c r="S121" s="14"/>
      <c r="T121" s="14"/>
      <c r="U121" s="14"/>
      <c r="V121" s="14"/>
      <c r="W121" s="243"/>
      <c r="X121" s="243"/>
      <c r="Y121" s="243"/>
      <c r="Z121" s="243"/>
      <c r="AA121" s="243"/>
      <c r="AB121" s="14"/>
      <c r="AC121" s="14"/>
      <c r="AD121" s="14"/>
      <c r="AE121" s="14"/>
      <c r="AF121" s="14"/>
      <c r="AG121" s="14"/>
    </row>
    <row r="122" spans="1:33" s="116" customFormat="1" ht="20.100000000000001" customHeight="1">
      <c r="A122" s="14"/>
      <c r="C122" s="14"/>
      <c r="D122" s="14"/>
      <c r="E122" s="282"/>
      <c r="F122" s="14"/>
      <c r="G122" s="14"/>
      <c r="H122" s="14"/>
      <c r="I122" s="14"/>
      <c r="J122" s="14"/>
      <c r="K122" s="14"/>
      <c r="L122" s="14"/>
      <c r="M122" s="14"/>
      <c r="N122" s="14"/>
      <c r="O122" s="241"/>
      <c r="P122" s="14"/>
      <c r="Q122" s="14"/>
      <c r="R122" s="14"/>
      <c r="S122" s="14"/>
      <c r="T122" s="14"/>
      <c r="U122" s="14"/>
      <c r="V122" s="14"/>
      <c r="W122" s="243"/>
      <c r="X122" s="243"/>
      <c r="Y122" s="243"/>
      <c r="Z122" s="243"/>
      <c r="AA122" s="243"/>
      <c r="AB122" s="14"/>
      <c r="AC122" s="14"/>
      <c r="AD122" s="14"/>
      <c r="AE122" s="14"/>
      <c r="AF122" s="14"/>
      <c r="AG122" s="14"/>
    </row>
  </sheetData>
  <phoneticPr fontId="1" type="noConversion"/>
  <hyperlinks>
    <hyperlink ref="E36" r:id="rId1" xr:uid="{006D6309-267B-43AC-A6A2-56DE95E08953}"/>
    <hyperlink ref="E37" r:id="rId2" xr:uid="{0B4E413C-85F0-47D0-8AB2-2752B18D72E4}"/>
    <hyperlink ref="E38" r:id="rId3" xr:uid="{1CB0A65C-2EB9-4BC0-9A1F-AEAD09266D88}"/>
    <hyperlink ref="E30" r:id="rId4" xr:uid="{FDA9D267-33E4-4CD3-A47C-274DB6C7EB45}"/>
    <hyperlink ref="E59" r:id="rId5" display="https://m.place.naver.com/hairshop/1509576334/home" xr:uid="{6B3FF138-6741-48F2-9FDB-689B01C61111}"/>
    <hyperlink ref="E29" r:id="rId6" xr:uid="{0860CF4A-3E39-496E-98EA-E413DD482C13}"/>
    <hyperlink ref="E71" r:id="rId7" xr:uid="{085A3D2D-AC05-46ED-BE02-E0509CCFAEBF}"/>
    <hyperlink ref="E32" r:id="rId8" xr:uid="{67C66D9C-77CC-450B-BA2B-E87F53425A22}"/>
    <hyperlink ref="E33" r:id="rId9" xr:uid="{C19665D1-DA06-4477-938C-C16DA55344B9}"/>
    <hyperlink ref="E40" r:id="rId10" xr:uid="{EBC8C1BB-D205-4A49-BEF0-D76AE0B1916D}"/>
    <hyperlink ref="E41" r:id="rId11" xr:uid="{D83FCCC8-174D-4A38-8DFE-E63627A29F24}"/>
    <hyperlink ref="E26" r:id="rId12" xr:uid="{3A3E8AE6-CCBD-4353-ABA1-D8439CAC583D}"/>
  </hyperlinks>
  <pageMargins left="0.7" right="0.7" top="0.75" bottom="0.75" header="0.3" footer="0.3"/>
  <pageSetup paperSize="9" orientation="portrait" r:id="rId13"/>
  <tableParts count="1">
    <tablePart r:id="rId1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9A56F-CBB4-4475-9AB6-E6314BCCA06A}">
  <dimension ref="A1:AM133"/>
  <sheetViews>
    <sheetView zoomScale="85" zoomScaleNormal="85" workbookViewId="0">
      <pane ySplit="2" topLeftCell="A51" activePane="bottomLeft" state="frozen"/>
      <selection activeCell="D1" sqref="D1"/>
      <selection pane="bottomLeft" activeCell="S72" sqref="S72"/>
    </sheetView>
  </sheetViews>
  <sheetFormatPr defaultRowHeight="16.5"/>
  <cols>
    <col min="1" max="1" width="12.25" style="2" customWidth="1"/>
    <col min="2" max="2" width="10" customWidth="1"/>
    <col min="3" max="3" width="13.25" style="15" bestFit="1" customWidth="1"/>
    <col min="4" max="4" width="20.25" style="15" bestFit="1" customWidth="1"/>
    <col min="5" max="5" width="22" style="275" customWidth="1"/>
    <col min="6" max="7" width="7.625" customWidth="1"/>
    <col min="8" max="10" width="9" customWidth="1"/>
    <col min="11" max="14" width="7.625" customWidth="1"/>
    <col min="15" max="16" width="7.625" style="2" customWidth="1"/>
    <col min="17" max="17" width="9.25" style="2" customWidth="1"/>
    <col min="18" max="18" width="10.875" style="2" customWidth="1"/>
    <col min="19" max="19" width="8.875" style="15" customWidth="1"/>
    <col min="20" max="20" width="10" style="2" customWidth="1"/>
    <col min="21" max="21" width="9.25" style="2" customWidth="1"/>
    <col min="22" max="22" width="10" style="2" customWidth="1"/>
    <col min="23" max="23" width="8.25" style="15" bestFit="1" customWidth="1"/>
    <col min="24" max="24" width="8.25" style="15" customWidth="1"/>
    <col min="25" max="30" width="9" style="2"/>
    <col min="31" max="31" width="30.625" style="2" customWidth="1"/>
    <col min="32" max="33" width="20.25" style="15" customWidth="1"/>
    <col min="34" max="34" width="9" style="2" customWidth="1"/>
    <col min="35" max="35" width="9" style="2"/>
    <col min="36" max="37" width="15.125" style="15" customWidth="1"/>
    <col min="38" max="38" width="9" style="2" customWidth="1"/>
    <col min="39" max="39" width="9" style="2"/>
  </cols>
  <sheetData>
    <row r="1" spans="1:39" ht="36" customHeight="1" thickBot="1">
      <c r="A1" s="238" t="s">
        <v>568</v>
      </c>
      <c r="B1" s="238"/>
      <c r="F1" s="2"/>
      <c r="G1" s="2"/>
      <c r="H1" s="2"/>
      <c r="I1" s="2"/>
      <c r="J1" s="2"/>
      <c r="K1" s="2"/>
      <c r="L1" s="2"/>
      <c r="M1" s="2"/>
      <c r="N1" s="2"/>
      <c r="O1" s="15"/>
      <c r="T1" s="15"/>
      <c r="W1" s="2"/>
      <c r="X1" s="2"/>
      <c r="AB1" s="15"/>
      <c r="AC1" s="15"/>
      <c r="AD1" s="15"/>
      <c r="AE1" s="15"/>
      <c r="AF1" s="2"/>
      <c r="AG1" s="2"/>
      <c r="AH1"/>
      <c r="AI1"/>
      <c r="AJ1"/>
      <c r="AK1"/>
      <c r="AL1"/>
      <c r="AM1"/>
    </row>
    <row r="2" spans="1:39" s="270" customFormat="1" ht="23.25" customHeight="1" thickBot="1">
      <c r="A2" s="253" t="s">
        <v>505</v>
      </c>
      <c r="B2" s="254" t="s">
        <v>519</v>
      </c>
      <c r="C2" s="255" t="s">
        <v>427</v>
      </c>
      <c r="D2" s="256" t="s">
        <v>198</v>
      </c>
      <c r="E2" s="276" t="s">
        <v>426</v>
      </c>
      <c r="F2" s="258" t="s">
        <v>524</v>
      </c>
      <c r="G2" s="257" t="s">
        <v>75</v>
      </c>
      <c r="H2" s="255" t="s">
        <v>439</v>
      </c>
      <c r="I2" s="259" t="s">
        <v>567</v>
      </c>
      <c r="J2" s="259" t="s">
        <v>499</v>
      </c>
      <c r="K2" s="258" t="s">
        <v>498</v>
      </c>
      <c r="L2" s="259" t="s">
        <v>440</v>
      </c>
      <c r="M2" s="256" t="s">
        <v>371</v>
      </c>
      <c r="N2" s="256" t="s">
        <v>299</v>
      </c>
      <c r="O2" s="260" t="s">
        <v>300</v>
      </c>
      <c r="P2" s="258" t="s">
        <v>156</v>
      </c>
      <c r="Q2" s="261" t="s">
        <v>121</v>
      </c>
      <c r="R2" s="262" t="s">
        <v>54</v>
      </c>
      <c r="S2" s="263" t="s">
        <v>116</v>
      </c>
      <c r="T2" s="263" t="s">
        <v>339</v>
      </c>
      <c r="U2" s="264" t="s">
        <v>189</v>
      </c>
      <c r="V2" s="265" t="s">
        <v>53</v>
      </c>
      <c r="W2" s="266" t="s">
        <v>195</v>
      </c>
      <c r="X2" s="267" t="s">
        <v>375</v>
      </c>
      <c r="Y2" s="267" t="s">
        <v>376</v>
      </c>
      <c r="Z2" s="268" t="s">
        <v>196</v>
      </c>
      <c r="AA2" s="269" t="s">
        <v>197</v>
      </c>
      <c r="AB2" s="256" t="s">
        <v>378</v>
      </c>
      <c r="AC2" s="256" t="s">
        <v>361</v>
      </c>
      <c r="AD2" s="256" t="s">
        <v>159</v>
      </c>
      <c r="AE2" s="256" t="s">
        <v>11</v>
      </c>
      <c r="AF2" s="261" t="s">
        <v>199</v>
      </c>
      <c r="AG2" s="256"/>
    </row>
    <row r="3" spans="1:39" s="252" customFormat="1" ht="23.25" customHeight="1">
      <c r="A3" s="53" t="s">
        <v>506</v>
      </c>
      <c r="B3" s="248">
        <v>45992</v>
      </c>
      <c r="C3" s="53">
        <v>2064392403</v>
      </c>
      <c r="D3" s="53" t="s">
        <v>419</v>
      </c>
      <c r="E3" s="277" t="str">
        <f>"https://m.place.naver.com/place/" &amp;C3 &amp; "/home"</f>
        <v>https://m.place.naver.com/place/2064392403/home</v>
      </c>
      <c r="F3" s="53"/>
      <c r="G3" s="53">
        <v>200</v>
      </c>
      <c r="H3" s="53"/>
      <c r="I3" s="53"/>
      <c r="J3" s="53"/>
      <c r="K3" s="53"/>
      <c r="L3" s="53"/>
      <c r="M3" s="53"/>
      <c r="N3" s="53"/>
      <c r="O3" s="249"/>
      <c r="P3" s="53">
        <v>100</v>
      </c>
      <c r="Q3" s="53"/>
      <c r="R3" s="250"/>
      <c r="S3" s="236"/>
      <c r="T3" s="237"/>
      <c r="U3" s="250"/>
      <c r="V3" s="250"/>
      <c r="W3" s="251"/>
      <c r="X3" s="251"/>
      <c r="Y3" s="251"/>
      <c r="Z3" s="251"/>
      <c r="AA3" s="251"/>
      <c r="AB3" s="53"/>
      <c r="AC3" s="53"/>
      <c r="AD3" s="53"/>
      <c r="AE3" s="53"/>
      <c r="AF3" s="53"/>
      <c r="AG3" s="53"/>
    </row>
    <row r="4" spans="1:39" s="116" customFormat="1" ht="23.25" customHeight="1">
      <c r="A4" s="14"/>
      <c r="B4" s="14"/>
      <c r="C4" s="14">
        <v>1761921683</v>
      </c>
      <c r="D4" s="14" t="s">
        <v>502</v>
      </c>
      <c r="E4" s="278" t="str">
        <f>"https://m.place.naver.com/place/" &amp;C4 &amp; "/home"</f>
        <v>https://m.place.naver.com/place/1761921683/home</v>
      </c>
      <c r="F4" s="14"/>
      <c r="G4" s="14"/>
      <c r="H4" s="14"/>
      <c r="I4" s="14"/>
      <c r="J4" s="14"/>
      <c r="K4" s="14"/>
      <c r="L4" s="14"/>
      <c r="M4" s="14"/>
      <c r="N4" s="14"/>
      <c r="O4" s="241"/>
      <c r="P4" s="14"/>
      <c r="Q4" s="14"/>
      <c r="R4" s="242"/>
      <c r="S4" s="215"/>
      <c r="T4" s="216"/>
      <c r="U4" s="242"/>
      <c r="V4" s="242"/>
      <c r="W4" s="243"/>
      <c r="X4" s="243"/>
      <c r="Y4" s="243"/>
      <c r="Z4" s="243"/>
      <c r="AA4" s="243"/>
      <c r="AB4" s="244"/>
      <c r="AC4" s="244"/>
      <c r="AD4" s="14"/>
      <c r="AE4" s="14"/>
      <c r="AF4" s="14"/>
      <c r="AG4" s="14"/>
    </row>
    <row r="5" spans="1:39" s="116" customFormat="1" ht="23.25" customHeight="1">
      <c r="A5" s="14" t="s">
        <v>508</v>
      </c>
      <c r="B5" s="239">
        <v>45994</v>
      </c>
      <c r="C5" s="14">
        <v>2011495902</v>
      </c>
      <c r="D5" s="14" t="s">
        <v>346</v>
      </c>
      <c r="E5" s="278" t="str">
        <f>"https://m.place.naver.com/place/" &amp;C5 &amp; "/home"</f>
        <v>https://m.place.naver.com/place/2011495902/home</v>
      </c>
      <c r="F5" s="14"/>
      <c r="G5" s="14"/>
      <c r="H5" s="14"/>
      <c r="I5" s="14"/>
      <c r="J5" s="14"/>
      <c r="K5" s="14"/>
      <c r="L5" s="14"/>
      <c r="M5" s="14"/>
      <c r="N5" s="14"/>
      <c r="O5" s="241"/>
      <c r="P5" s="14"/>
      <c r="Q5" s="14"/>
      <c r="R5" s="242"/>
      <c r="S5" s="215"/>
      <c r="T5" s="216"/>
      <c r="U5" s="242"/>
      <c r="V5" s="242"/>
      <c r="W5" s="243"/>
      <c r="X5" s="243"/>
      <c r="Y5" s="243"/>
      <c r="Z5" s="243"/>
      <c r="AA5" s="243"/>
      <c r="AB5" s="14"/>
      <c r="AC5" s="14"/>
      <c r="AD5" s="14"/>
      <c r="AE5" s="14"/>
      <c r="AF5" s="14"/>
      <c r="AG5" s="14"/>
    </row>
    <row r="6" spans="1:39" s="116" customFormat="1" ht="23.25" customHeight="1">
      <c r="A6" s="14"/>
      <c r="B6" s="239"/>
      <c r="C6" s="14"/>
      <c r="D6" s="14"/>
      <c r="E6" s="278"/>
      <c r="F6" s="14"/>
      <c r="G6" s="14"/>
      <c r="H6" s="14"/>
      <c r="I6" s="14"/>
      <c r="J6" s="14"/>
      <c r="K6" s="14"/>
      <c r="L6" s="14"/>
      <c r="M6" s="14"/>
      <c r="N6" s="14"/>
      <c r="O6" s="241"/>
      <c r="P6" s="14"/>
      <c r="Q6" s="14"/>
      <c r="R6" s="242"/>
      <c r="S6" s="215"/>
      <c r="T6" s="216"/>
      <c r="U6" s="242"/>
      <c r="V6" s="242"/>
      <c r="W6" s="243"/>
      <c r="X6" s="243"/>
      <c r="Y6" s="243"/>
      <c r="Z6" s="243"/>
      <c r="AA6" s="243"/>
      <c r="AB6" s="14"/>
      <c r="AC6" s="14"/>
      <c r="AD6" s="14"/>
      <c r="AE6" s="14"/>
      <c r="AF6" s="14"/>
      <c r="AG6" s="14"/>
    </row>
    <row r="7" spans="1:39" s="116" customFormat="1" ht="23.25" customHeight="1">
      <c r="A7" s="14"/>
      <c r="B7" s="14"/>
      <c r="C7" s="14">
        <v>2036330504</v>
      </c>
      <c r="D7" s="14" t="s">
        <v>347</v>
      </c>
      <c r="E7" s="278" t="str">
        <f t="shared" ref="E7:E15" si="0">"https://m.place.naver.com/place/" &amp;C7 &amp; "/home"</f>
        <v>https://m.place.naver.com/place/2036330504/home</v>
      </c>
      <c r="F7" s="14" t="s">
        <v>566</v>
      </c>
      <c r="G7" s="14"/>
      <c r="H7" s="14"/>
      <c r="I7" s="14"/>
      <c r="J7" s="14"/>
      <c r="K7" s="14"/>
      <c r="L7" s="14"/>
      <c r="M7" s="14"/>
      <c r="N7" s="14"/>
      <c r="O7" s="241"/>
      <c r="P7" s="14"/>
      <c r="Q7" s="14"/>
      <c r="R7" s="242"/>
      <c r="S7" s="215"/>
      <c r="T7" s="216"/>
      <c r="U7" s="242"/>
      <c r="V7" s="242"/>
      <c r="W7" s="243"/>
      <c r="X7" s="243"/>
      <c r="Y7" s="243"/>
      <c r="Z7" s="243"/>
      <c r="AA7" s="243"/>
      <c r="AB7" s="14"/>
      <c r="AC7" s="14"/>
      <c r="AD7" s="14"/>
      <c r="AE7" s="14"/>
      <c r="AF7" s="14"/>
      <c r="AG7" s="14"/>
    </row>
    <row r="8" spans="1:39" s="116" customFormat="1" ht="23.25" customHeight="1">
      <c r="A8" s="14"/>
      <c r="B8" s="14"/>
      <c r="C8" s="14">
        <v>2048523733</v>
      </c>
      <c r="D8" s="14" t="s">
        <v>500</v>
      </c>
      <c r="E8" s="278" t="str">
        <f t="shared" si="0"/>
        <v>https://m.place.naver.com/place/2048523733/home</v>
      </c>
      <c r="F8" s="14"/>
      <c r="G8" s="14"/>
      <c r="H8" s="14"/>
      <c r="I8" s="14"/>
      <c r="J8" s="14"/>
      <c r="K8" s="14"/>
      <c r="L8" s="14"/>
      <c r="M8" s="14"/>
      <c r="N8" s="14"/>
      <c r="O8" s="241"/>
      <c r="P8" s="14"/>
      <c r="Q8" s="14"/>
      <c r="R8" s="242"/>
      <c r="S8" s="215"/>
      <c r="T8" s="216"/>
      <c r="U8" s="242"/>
      <c r="V8" s="242"/>
      <c r="W8" s="243"/>
      <c r="X8" s="243"/>
      <c r="Y8" s="243"/>
      <c r="Z8" s="243"/>
      <c r="AA8" s="243"/>
      <c r="AB8" s="244"/>
      <c r="AC8" s="244"/>
      <c r="AD8" s="14"/>
      <c r="AE8" s="14"/>
      <c r="AF8" s="14"/>
      <c r="AG8" s="14"/>
    </row>
    <row r="9" spans="1:39" s="116" customFormat="1" ht="23.25" customHeight="1">
      <c r="A9" s="14"/>
      <c r="B9" s="14"/>
      <c r="C9" s="14">
        <v>2095974921</v>
      </c>
      <c r="D9" s="14" t="s">
        <v>501</v>
      </c>
      <c r="E9" s="278" t="str">
        <f t="shared" si="0"/>
        <v>https://m.place.naver.com/place/2095974921/home</v>
      </c>
      <c r="F9" s="14"/>
      <c r="G9" s="14"/>
      <c r="H9" s="14"/>
      <c r="I9" s="14"/>
      <c r="J9" s="14"/>
      <c r="K9" s="14"/>
      <c r="L9" s="14"/>
      <c r="M9" s="14"/>
      <c r="N9" s="14"/>
      <c r="O9" s="241"/>
      <c r="P9" s="14"/>
      <c r="Q9" s="14"/>
      <c r="R9" s="242"/>
      <c r="S9" s="215"/>
      <c r="T9" s="216"/>
      <c r="U9" s="242"/>
      <c r="V9" s="242"/>
      <c r="W9" s="243"/>
      <c r="X9" s="243"/>
      <c r="Y9" s="243"/>
      <c r="Z9" s="243"/>
      <c r="AA9" s="243"/>
      <c r="AB9" s="244"/>
      <c r="AC9" s="244"/>
      <c r="AD9" s="14"/>
      <c r="AE9" s="14"/>
      <c r="AF9" s="14"/>
      <c r="AG9" s="14"/>
    </row>
    <row r="10" spans="1:39" s="116" customFormat="1" ht="23.25" customHeight="1">
      <c r="A10" s="14"/>
      <c r="B10" s="14"/>
      <c r="C10" s="14"/>
      <c r="D10" s="14"/>
      <c r="E10" s="278"/>
      <c r="F10" s="14"/>
      <c r="G10" s="14"/>
      <c r="H10" s="14"/>
      <c r="I10" s="14"/>
      <c r="J10" s="14"/>
      <c r="K10" s="14"/>
      <c r="L10" s="14"/>
      <c r="M10" s="14"/>
      <c r="N10" s="14"/>
      <c r="O10" s="241"/>
      <c r="P10" s="14"/>
      <c r="Q10" s="14"/>
      <c r="R10" s="242"/>
      <c r="S10" s="215"/>
      <c r="T10" s="216"/>
      <c r="U10" s="242"/>
      <c r="V10" s="242"/>
      <c r="W10" s="243"/>
      <c r="X10" s="243"/>
      <c r="Y10" s="243"/>
      <c r="Z10" s="243"/>
      <c r="AA10" s="243"/>
      <c r="AB10" s="244"/>
      <c r="AC10" s="244"/>
      <c r="AD10" s="14"/>
      <c r="AE10" s="14"/>
      <c r="AF10" s="14"/>
      <c r="AG10" s="14"/>
    </row>
    <row r="11" spans="1:39" s="116" customFormat="1" ht="23.25" customHeight="1">
      <c r="A11" s="14"/>
      <c r="B11" s="239"/>
      <c r="C11" s="14">
        <v>1173433139</v>
      </c>
      <c r="D11" s="14" t="s">
        <v>442</v>
      </c>
      <c r="E11" s="278" t="str">
        <f>"https://m.place.naver.com/place/" &amp;C11 &amp; "/home"</f>
        <v>https://m.place.naver.com/place/1173433139/home</v>
      </c>
      <c r="F11" s="14">
        <v>100</v>
      </c>
      <c r="G11" s="14"/>
      <c r="H11" s="14"/>
      <c r="I11" s="14"/>
      <c r="J11" s="14"/>
      <c r="K11" s="14"/>
      <c r="L11" s="14"/>
      <c r="M11" s="14"/>
      <c r="N11" s="14"/>
      <c r="O11" s="241"/>
      <c r="P11" s="14">
        <v>100</v>
      </c>
      <c r="Q11" s="14"/>
      <c r="R11" s="242"/>
      <c r="S11" s="215"/>
      <c r="T11" s="216"/>
      <c r="U11" s="242"/>
      <c r="V11" s="242"/>
      <c r="W11" s="243"/>
      <c r="X11" s="243"/>
      <c r="Y11" s="243"/>
      <c r="Z11" s="243"/>
      <c r="AA11" s="243"/>
      <c r="AB11" s="244"/>
      <c r="AC11" s="244"/>
      <c r="AD11" s="14"/>
      <c r="AE11" s="14"/>
      <c r="AF11" s="14"/>
      <c r="AG11" s="14"/>
    </row>
    <row r="12" spans="1:39" s="116" customFormat="1" ht="20.100000000000001" customHeight="1">
      <c r="A12" s="14"/>
      <c r="C12" s="14">
        <v>36399674</v>
      </c>
      <c r="D12" s="14" t="s">
        <v>73</v>
      </c>
      <c r="E12" s="278" t="str">
        <f t="shared" si="0"/>
        <v>https://m.place.naver.com/place/36399674/home</v>
      </c>
      <c r="F12" s="14"/>
      <c r="G12" s="14"/>
      <c r="H12" s="14">
        <v>150</v>
      </c>
      <c r="I12" s="14"/>
      <c r="J12" s="14"/>
      <c r="K12" s="14"/>
      <c r="L12" s="14"/>
      <c r="M12" s="14"/>
      <c r="N12" s="14"/>
      <c r="O12" s="241"/>
      <c r="P12" s="14">
        <v>100</v>
      </c>
      <c r="Q12" s="14"/>
      <c r="R12" s="14"/>
      <c r="S12" s="14"/>
      <c r="T12" s="14"/>
      <c r="U12" s="14"/>
      <c r="V12" s="14"/>
      <c r="W12" s="243"/>
      <c r="X12" s="243"/>
      <c r="Y12" s="243"/>
      <c r="Z12" s="243"/>
      <c r="AA12" s="243"/>
      <c r="AB12" s="244"/>
      <c r="AC12" s="244"/>
      <c r="AD12" s="14"/>
      <c r="AE12" s="14"/>
      <c r="AF12" s="14"/>
      <c r="AG12" s="14"/>
    </row>
    <row r="13" spans="1:39" s="4" customFormat="1">
      <c r="A13" s="283"/>
      <c r="B13" s="240"/>
      <c r="C13" s="14"/>
      <c r="D13" s="14"/>
      <c r="E13" s="278"/>
      <c r="F13" s="14"/>
      <c r="G13" s="14"/>
      <c r="H13" s="14"/>
      <c r="I13" s="14"/>
      <c r="J13" s="14"/>
      <c r="K13" s="14"/>
      <c r="L13" s="14"/>
      <c r="M13" s="5"/>
      <c r="N13" s="5"/>
      <c r="O13" s="14"/>
      <c r="P13" s="5"/>
      <c r="Q13" s="5"/>
      <c r="R13" s="5"/>
      <c r="S13" s="14"/>
      <c r="T13" s="14"/>
      <c r="U13" s="5"/>
      <c r="V13" s="5"/>
      <c r="W13" s="5"/>
      <c r="X13" s="5"/>
      <c r="Y13" s="5"/>
      <c r="Z13" s="5"/>
      <c r="AA13" s="5"/>
      <c r="AB13" s="14"/>
      <c r="AC13" s="14"/>
      <c r="AD13" s="5"/>
      <c r="AE13" s="5"/>
      <c r="AF13" s="14"/>
      <c r="AG13" s="14"/>
      <c r="AH13" s="5"/>
      <c r="AI13" s="5"/>
    </row>
    <row r="14" spans="1:39" s="116" customFormat="1" ht="20.100000000000001" customHeight="1">
      <c r="A14" s="14"/>
      <c r="C14" s="14"/>
      <c r="D14" s="14"/>
      <c r="E14" s="278"/>
      <c r="F14" s="14"/>
      <c r="G14" s="14"/>
      <c r="H14" s="14"/>
      <c r="I14" s="14"/>
      <c r="J14" s="14"/>
      <c r="K14" s="14"/>
      <c r="L14" s="14"/>
      <c r="M14" s="14"/>
      <c r="N14" s="14"/>
      <c r="O14" s="241"/>
      <c r="P14" s="14"/>
      <c r="Q14" s="14"/>
      <c r="R14" s="14"/>
      <c r="S14" s="14"/>
      <c r="T14" s="14"/>
      <c r="U14" s="14"/>
      <c r="V14" s="14"/>
      <c r="W14" s="243"/>
      <c r="X14" s="243"/>
      <c r="Y14" s="243"/>
      <c r="Z14" s="243"/>
      <c r="AA14" s="243"/>
      <c r="AB14" s="14"/>
      <c r="AC14" s="14"/>
      <c r="AD14" s="14"/>
      <c r="AE14" s="14"/>
      <c r="AF14" s="14"/>
      <c r="AG14" s="14"/>
    </row>
    <row r="15" spans="1:39" s="116" customFormat="1" ht="20.100000000000001" customHeight="1">
      <c r="A15" s="14"/>
      <c r="C15" s="14">
        <v>2022575390</v>
      </c>
      <c r="D15" s="14" t="s">
        <v>413</v>
      </c>
      <c r="E15" s="278" t="str">
        <f t="shared" si="0"/>
        <v>https://m.place.naver.com/place/2022575390/home</v>
      </c>
      <c r="F15" s="14"/>
      <c r="G15" s="14"/>
      <c r="H15" s="14"/>
      <c r="I15" s="14"/>
      <c r="J15" s="14"/>
      <c r="K15" s="14"/>
      <c r="L15" s="14">
        <v>150</v>
      </c>
      <c r="M15" s="14"/>
      <c r="N15" s="14"/>
      <c r="O15" s="241"/>
      <c r="P15" s="14"/>
      <c r="Q15" s="14"/>
      <c r="R15" s="14"/>
      <c r="S15" s="14"/>
      <c r="T15" s="14"/>
      <c r="U15" s="14"/>
      <c r="V15" s="14"/>
      <c r="W15" s="243"/>
      <c r="X15" s="243"/>
      <c r="Y15" s="243"/>
      <c r="Z15" s="243"/>
      <c r="AA15" s="243"/>
      <c r="AB15" s="14"/>
      <c r="AC15" s="14"/>
      <c r="AD15" s="14"/>
      <c r="AE15" s="14"/>
      <c r="AF15" s="14"/>
      <c r="AG15" s="14"/>
    </row>
    <row r="16" spans="1:39" s="116" customFormat="1" ht="23.25" customHeight="1">
      <c r="A16" s="14"/>
      <c r="B16" s="14"/>
      <c r="C16" s="14"/>
      <c r="D16" s="14"/>
      <c r="E16" s="278"/>
      <c r="F16" s="14"/>
      <c r="G16" s="14"/>
      <c r="H16" s="14"/>
      <c r="I16" s="14"/>
      <c r="J16" s="14"/>
      <c r="K16" s="14"/>
      <c r="L16" s="14"/>
      <c r="M16" s="14"/>
      <c r="N16" s="14"/>
      <c r="O16" s="241"/>
      <c r="P16" s="14"/>
      <c r="Q16" s="14"/>
      <c r="R16" s="242"/>
      <c r="S16" s="215"/>
      <c r="T16" s="216"/>
      <c r="U16" s="242"/>
      <c r="V16" s="242"/>
      <c r="W16" s="243"/>
      <c r="X16" s="243"/>
      <c r="Y16" s="243"/>
      <c r="Z16" s="243"/>
      <c r="AA16" s="243"/>
      <c r="AB16" s="244"/>
      <c r="AC16" s="244"/>
      <c r="AD16" s="14"/>
      <c r="AE16" s="14"/>
      <c r="AF16" s="14"/>
      <c r="AG16" s="14"/>
    </row>
    <row r="17" spans="1:33" s="116" customFormat="1" ht="20.100000000000001" customHeight="1">
      <c r="A17" s="14"/>
      <c r="C17" s="14">
        <v>1768171911</v>
      </c>
      <c r="D17" s="14" t="s">
        <v>411</v>
      </c>
      <c r="E17" s="278" t="str">
        <f t="shared" ref="E17:E29" si="1">"https://m.place.naver.com/place/" &amp;C17 &amp; "/home"</f>
        <v>https://m.place.naver.com/place/1768171911/home</v>
      </c>
      <c r="F17" s="14"/>
      <c r="G17" s="14"/>
      <c r="H17" s="14">
        <v>200</v>
      </c>
      <c r="I17" s="14"/>
      <c r="J17" s="14"/>
      <c r="K17" s="14"/>
      <c r="L17" s="14"/>
      <c r="M17" s="14"/>
      <c r="N17" s="14"/>
      <c r="O17" s="241"/>
      <c r="P17" s="14">
        <v>100</v>
      </c>
      <c r="Q17" s="14"/>
      <c r="R17" s="14"/>
      <c r="S17" s="14"/>
      <c r="T17" s="14"/>
      <c r="U17" s="14"/>
      <c r="V17" s="14"/>
      <c r="W17" s="243"/>
      <c r="X17" s="243"/>
      <c r="Y17" s="243"/>
      <c r="Z17" s="243"/>
      <c r="AA17" s="243"/>
      <c r="AB17" s="14"/>
      <c r="AC17" s="14"/>
      <c r="AD17" s="14"/>
      <c r="AE17" s="14"/>
      <c r="AF17" s="14"/>
      <c r="AG17" s="14"/>
    </row>
    <row r="18" spans="1:33" s="116" customFormat="1" ht="20.100000000000001" customHeight="1">
      <c r="A18" s="14"/>
      <c r="C18" s="14"/>
      <c r="D18" s="14" t="s">
        <v>503</v>
      </c>
      <c r="E18" s="278" t="str">
        <f t="shared" si="1"/>
        <v>https://m.place.naver.com/place//home</v>
      </c>
      <c r="F18" s="14"/>
      <c r="G18" s="14"/>
      <c r="H18" s="14"/>
      <c r="I18" s="14"/>
      <c r="J18" s="14"/>
      <c r="K18" s="14"/>
      <c r="L18" s="14"/>
      <c r="M18" s="14"/>
      <c r="N18" s="14"/>
      <c r="O18" s="241"/>
      <c r="P18" s="14"/>
      <c r="Q18" s="14"/>
      <c r="R18" s="14"/>
      <c r="S18" s="14"/>
      <c r="T18" s="14"/>
      <c r="U18" s="14"/>
      <c r="V18" s="14"/>
      <c r="W18" s="243"/>
      <c r="X18" s="243"/>
      <c r="Y18" s="243"/>
      <c r="Z18" s="243"/>
      <c r="AA18" s="243"/>
      <c r="AB18" s="244"/>
      <c r="AC18" s="244"/>
      <c r="AD18" s="14"/>
      <c r="AE18" s="14"/>
      <c r="AF18" s="14"/>
      <c r="AG18" s="14"/>
    </row>
    <row r="19" spans="1:33" s="116" customFormat="1" ht="20.100000000000001" customHeight="1">
      <c r="A19" s="14"/>
      <c r="C19" s="14">
        <v>1773775267</v>
      </c>
      <c r="D19" s="14" t="s">
        <v>421</v>
      </c>
      <c r="E19" s="278" t="str">
        <f t="shared" si="1"/>
        <v>https://m.place.naver.com/place/1773775267/home</v>
      </c>
      <c r="F19" s="14"/>
      <c r="G19" s="14">
        <v>200</v>
      </c>
      <c r="H19" s="14"/>
      <c r="I19" s="14"/>
      <c r="J19" s="14"/>
      <c r="K19" s="14"/>
      <c r="L19" s="14"/>
      <c r="M19" s="14"/>
      <c r="N19" s="14"/>
      <c r="O19" s="241"/>
      <c r="P19" s="14">
        <v>100</v>
      </c>
      <c r="Q19" s="14"/>
      <c r="R19" s="14"/>
      <c r="S19" s="14"/>
      <c r="T19" s="14"/>
      <c r="U19" s="14"/>
      <c r="V19" s="14"/>
      <c r="W19" s="243"/>
      <c r="X19" s="243"/>
      <c r="Y19" s="243"/>
      <c r="Z19" s="243"/>
      <c r="AA19" s="243"/>
      <c r="AB19" s="14"/>
      <c r="AC19" s="14"/>
      <c r="AD19" s="14"/>
      <c r="AE19" s="14"/>
      <c r="AF19" s="14"/>
      <c r="AG19" s="14"/>
    </row>
    <row r="20" spans="1:33" s="116" customFormat="1" ht="20.100000000000001" customHeight="1">
      <c r="A20" s="14"/>
      <c r="C20" s="14">
        <v>2047453115</v>
      </c>
      <c r="D20" s="14" t="s">
        <v>423</v>
      </c>
      <c r="E20" s="278" t="str">
        <f t="shared" si="1"/>
        <v>https://m.place.naver.com/place/2047453115/home</v>
      </c>
      <c r="F20" s="14"/>
      <c r="G20" s="14"/>
      <c r="H20" s="14"/>
      <c r="I20" s="14">
        <v>200</v>
      </c>
      <c r="J20" s="14"/>
      <c r="K20" s="14"/>
      <c r="L20" s="14"/>
      <c r="M20" s="14"/>
      <c r="N20" s="14"/>
      <c r="O20" s="241">
        <v>100</v>
      </c>
      <c r="P20" s="14"/>
      <c r="Q20" s="14"/>
      <c r="R20" s="14"/>
      <c r="S20" s="14"/>
      <c r="T20" s="14"/>
      <c r="U20" s="14"/>
      <c r="V20" s="14"/>
      <c r="W20" s="243"/>
      <c r="X20" s="243"/>
      <c r="Y20" s="243"/>
      <c r="Z20" s="243"/>
      <c r="AA20" s="243"/>
      <c r="AB20" s="14"/>
      <c r="AC20" s="14"/>
      <c r="AD20" s="14"/>
      <c r="AE20" s="14"/>
      <c r="AF20" s="14"/>
      <c r="AG20" s="14"/>
    </row>
    <row r="21" spans="1:33" s="116" customFormat="1" ht="20.100000000000001" customHeight="1">
      <c r="A21" s="14"/>
      <c r="C21" s="14">
        <v>1138528583</v>
      </c>
      <c r="D21" s="14" t="s">
        <v>175</v>
      </c>
      <c r="E21" s="278" t="str">
        <f t="shared" si="1"/>
        <v>https://m.place.naver.com/place/1138528583/home</v>
      </c>
      <c r="F21" s="14"/>
      <c r="G21" s="14">
        <v>800</v>
      </c>
      <c r="H21" s="14"/>
      <c r="I21" s="14"/>
      <c r="J21" s="14"/>
      <c r="K21" s="14"/>
      <c r="L21" s="14"/>
      <c r="M21" s="14"/>
      <c r="N21" s="14"/>
      <c r="O21" s="241">
        <v>100</v>
      </c>
      <c r="P21" s="14"/>
      <c r="Q21" s="14">
        <v>200</v>
      </c>
      <c r="R21" s="14"/>
      <c r="S21" s="14"/>
      <c r="T21" s="14"/>
      <c r="U21" s="14"/>
      <c r="V21" s="14"/>
      <c r="W21" s="243"/>
      <c r="X21" s="243"/>
      <c r="Y21" s="243"/>
      <c r="Z21" s="243"/>
      <c r="AA21" s="243"/>
      <c r="AB21" s="14"/>
      <c r="AC21" s="14"/>
      <c r="AD21" s="14"/>
      <c r="AE21" s="14"/>
      <c r="AF21" s="14"/>
      <c r="AG21" s="14"/>
    </row>
    <row r="22" spans="1:33" s="4" customFormat="1" ht="20.100000000000001" customHeight="1">
      <c r="A22" s="14"/>
      <c r="B22" s="116"/>
      <c r="C22" s="14">
        <v>1374995918</v>
      </c>
      <c r="D22" s="14" t="s">
        <v>409</v>
      </c>
      <c r="E22" s="278" t="str">
        <f t="shared" si="1"/>
        <v>https://m.place.naver.com/place/1374995918/home</v>
      </c>
      <c r="F22" s="14"/>
      <c r="G22" s="14"/>
      <c r="H22" s="14"/>
      <c r="I22" s="14">
        <v>200</v>
      </c>
      <c r="J22" s="14"/>
      <c r="K22" s="14"/>
      <c r="L22" s="14"/>
      <c r="M22" s="14"/>
      <c r="N22" s="14"/>
      <c r="O22" s="241"/>
      <c r="P22" s="39">
        <v>100</v>
      </c>
      <c r="Q22" s="280"/>
      <c r="R22" s="14"/>
      <c r="S22" s="14"/>
      <c r="T22" s="14"/>
      <c r="U22" s="5"/>
      <c r="V22" s="5"/>
      <c r="W22" s="243"/>
      <c r="X22" s="243"/>
      <c r="Y22" s="243"/>
      <c r="Z22" s="243"/>
      <c r="AA22" s="243"/>
      <c r="AB22" s="14"/>
      <c r="AC22" s="14"/>
      <c r="AD22" s="14"/>
      <c r="AE22" s="14"/>
      <c r="AF22" s="14"/>
      <c r="AG22" s="5"/>
    </row>
    <row r="23" spans="1:33" s="116" customFormat="1" ht="20.100000000000001" customHeight="1">
      <c r="A23" s="14"/>
      <c r="C23" s="14">
        <v>1382904718</v>
      </c>
      <c r="D23" s="14" t="s">
        <v>403</v>
      </c>
      <c r="E23" s="278" t="str">
        <f t="shared" si="1"/>
        <v>https://m.place.naver.com/place/1382904718/home</v>
      </c>
      <c r="F23" s="14">
        <v>150</v>
      </c>
      <c r="G23" s="14"/>
      <c r="H23" s="14"/>
      <c r="I23" s="14"/>
      <c r="J23" s="14"/>
      <c r="K23" s="14"/>
      <c r="L23" s="14"/>
      <c r="M23" s="14"/>
      <c r="N23" s="14"/>
      <c r="O23" s="241"/>
      <c r="P23" s="14"/>
      <c r="Q23" s="14"/>
      <c r="R23" s="14"/>
      <c r="S23" s="14"/>
      <c r="T23" s="14"/>
      <c r="U23" s="14"/>
      <c r="V23" s="14"/>
      <c r="W23" s="243"/>
      <c r="X23" s="243"/>
      <c r="Y23" s="243"/>
      <c r="Z23" s="243"/>
      <c r="AA23" s="243"/>
      <c r="AB23" s="14"/>
      <c r="AC23" s="14"/>
      <c r="AD23" s="14"/>
      <c r="AE23" s="14"/>
      <c r="AF23" s="14"/>
      <c r="AG23" s="14"/>
    </row>
    <row r="24" spans="1:33" s="116" customFormat="1" ht="20.100000000000001" customHeight="1">
      <c r="A24" s="14"/>
      <c r="C24" s="14">
        <v>1024294111</v>
      </c>
      <c r="D24" s="14" t="s">
        <v>407</v>
      </c>
      <c r="E24" s="278" t="str">
        <f t="shared" si="1"/>
        <v>https://m.place.naver.com/place/1024294111/home</v>
      </c>
      <c r="F24" s="14"/>
      <c r="G24" s="14"/>
      <c r="H24" s="14"/>
      <c r="I24" s="14"/>
      <c r="J24" s="14"/>
      <c r="K24" s="14"/>
      <c r="L24" s="14"/>
      <c r="M24" s="14"/>
      <c r="N24" s="14"/>
      <c r="O24" s="241"/>
      <c r="P24" s="14"/>
      <c r="Q24" s="14"/>
      <c r="R24" s="14"/>
      <c r="S24" s="14"/>
      <c r="T24" s="14"/>
      <c r="U24" s="14"/>
      <c r="V24" s="14"/>
      <c r="W24" s="243"/>
      <c r="X24" s="243"/>
      <c r="Y24" s="243"/>
      <c r="Z24" s="243"/>
      <c r="AA24" s="243"/>
      <c r="AB24" s="14"/>
      <c r="AC24" s="14"/>
      <c r="AD24" s="14"/>
      <c r="AE24" s="14"/>
      <c r="AF24" s="14"/>
      <c r="AG24" s="14"/>
    </row>
    <row r="25" spans="1:33" s="116" customFormat="1" ht="20.100000000000001" customHeight="1">
      <c r="A25" s="14"/>
      <c r="C25" s="14">
        <v>2044480569</v>
      </c>
      <c r="D25" s="14" t="s">
        <v>405</v>
      </c>
      <c r="E25" s="278" t="str">
        <f t="shared" si="1"/>
        <v>https://m.place.naver.com/place/2044480569/home</v>
      </c>
      <c r="F25" s="14">
        <v>200</v>
      </c>
      <c r="G25" s="14"/>
      <c r="H25" s="14"/>
      <c r="I25" s="14"/>
      <c r="J25" s="14"/>
      <c r="K25" s="14"/>
      <c r="L25" s="14"/>
      <c r="M25" s="14"/>
      <c r="N25" s="14"/>
      <c r="O25" s="241"/>
      <c r="P25" s="14"/>
      <c r="Q25" s="14"/>
      <c r="R25" s="14"/>
      <c r="S25" s="14"/>
      <c r="T25" s="14"/>
      <c r="U25" s="14"/>
      <c r="V25" s="14"/>
      <c r="W25" s="243"/>
      <c r="X25" s="243"/>
      <c r="Y25" s="243"/>
      <c r="Z25" s="243"/>
      <c r="AA25" s="243"/>
      <c r="AB25" s="4"/>
      <c r="AC25" s="245"/>
      <c r="AD25" s="14"/>
      <c r="AE25" s="14"/>
      <c r="AF25" s="14"/>
      <c r="AG25" s="14"/>
    </row>
    <row r="26" spans="1:33" s="116" customFormat="1" ht="20.100000000000001" customHeight="1">
      <c r="A26" s="14"/>
      <c r="C26" s="14">
        <v>1012331030</v>
      </c>
      <c r="D26" s="14" t="s">
        <v>444</v>
      </c>
      <c r="E26" s="278" t="str">
        <f t="shared" si="1"/>
        <v>https://m.place.naver.com/place/1012331030/home</v>
      </c>
      <c r="F26" s="14">
        <v>100</v>
      </c>
      <c r="G26" s="14"/>
      <c r="H26" s="14"/>
      <c r="I26" s="14"/>
      <c r="J26" s="14"/>
      <c r="K26" s="14"/>
      <c r="L26" s="14"/>
      <c r="M26" s="14"/>
      <c r="N26" s="14"/>
      <c r="O26" s="241"/>
      <c r="P26" s="14"/>
      <c r="Q26" s="14"/>
      <c r="R26" s="14"/>
      <c r="S26" s="14"/>
      <c r="T26" s="14"/>
      <c r="U26" s="14"/>
      <c r="V26" s="14"/>
      <c r="W26" s="243"/>
      <c r="X26" s="243"/>
      <c r="Y26" s="243"/>
      <c r="Z26" s="243"/>
      <c r="AA26" s="243"/>
      <c r="AB26" s="14"/>
      <c r="AC26" s="246"/>
      <c r="AD26" s="14"/>
      <c r="AE26" s="14"/>
      <c r="AF26" s="14"/>
      <c r="AG26" s="14"/>
    </row>
    <row r="27" spans="1:33" s="116" customFormat="1" ht="20.100000000000001" customHeight="1">
      <c r="A27" s="14"/>
      <c r="C27" s="14"/>
      <c r="D27" s="14"/>
      <c r="E27" s="278"/>
      <c r="F27" s="14"/>
      <c r="G27" s="14"/>
      <c r="H27" s="14"/>
      <c r="I27" s="14"/>
      <c r="J27" s="14"/>
      <c r="K27" s="14"/>
      <c r="L27" s="14"/>
      <c r="M27" s="14"/>
      <c r="N27" s="14"/>
      <c r="O27" s="241"/>
      <c r="P27" s="14"/>
      <c r="Q27" s="14"/>
      <c r="R27" s="14"/>
      <c r="S27" s="14"/>
      <c r="T27" s="14"/>
      <c r="U27" s="14"/>
      <c r="V27" s="14"/>
      <c r="W27" s="243"/>
      <c r="X27" s="243"/>
      <c r="Y27" s="243"/>
      <c r="Z27" s="243"/>
      <c r="AA27" s="243"/>
      <c r="AB27" s="244"/>
      <c r="AC27" s="244"/>
      <c r="AD27" s="14"/>
      <c r="AE27" s="14"/>
      <c r="AF27" s="14"/>
      <c r="AG27" s="14"/>
    </row>
    <row r="28" spans="1:33" s="116" customFormat="1" ht="20.100000000000001" customHeight="1">
      <c r="A28" s="14"/>
      <c r="C28" s="14">
        <v>1409613427</v>
      </c>
      <c r="D28" s="14" t="s">
        <v>185</v>
      </c>
      <c r="E28" s="278" t="str">
        <f t="shared" si="1"/>
        <v>https://m.place.naver.com/place/1409613427/home</v>
      </c>
      <c r="F28" s="14">
        <v>100</v>
      </c>
      <c r="G28" s="14"/>
      <c r="H28" s="14">
        <v>100</v>
      </c>
      <c r="I28" s="14"/>
      <c r="J28" s="14"/>
      <c r="K28" s="14"/>
      <c r="L28" s="14"/>
      <c r="M28" s="14"/>
      <c r="N28" s="14"/>
      <c r="O28" s="241">
        <v>100</v>
      </c>
      <c r="P28" s="14">
        <v>100</v>
      </c>
      <c r="Q28" s="14"/>
      <c r="R28" s="14"/>
      <c r="S28" s="14"/>
      <c r="T28" s="14"/>
      <c r="U28" s="14"/>
      <c r="V28" s="14"/>
      <c r="W28" s="243"/>
      <c r="X28" s="243"/>
      <c r="Y28" s="243"/>
      <c r="Z28" s="243"/>
      <c r="AA28" s="243"/>
      <c r="AB28" s="14"/>
      <c r="AC28" s="14"/>
      <c r="AD28" s="14"/>
      <c r="AE28" s="14"/>
      <c r="AF28" s="14"/>
      <c r="AG28" s="14"/>
    </row>
    <row r="29" spans="1:33" s="116" customFormat="1" ht="20.100000000000001" customHeight="1">
      <c r="A29" s="14"/>
      <c r="C29" s="14">
        <v>36073217</v>
      </c>
      <c r="D29" s="14" t="s">
        <v>400</v>
      </c>
      <c r="E29" s="278" t="str">
        <f t="shared" si="1"/>
        <v>https://m.place.naver.com/place/36073217/home</v>
      </c>
      <c r="F29" s="14">
        <v>300</v>
      </c>
      <c r="G29" s="14"/>
      <c r="H29" s="14"/>
      <c r="I29" s="14"/>
      <c r="J29" s="14"/>
      <c r="K29" s="14"/>
      <c r="L29" s="14"/>
      <c r="M29" s="14"/>
      <c r="N29" s="14"/>
      <c r="O29" s="241">
        <v>100</v>
      </c>
      <c r="P29" s="14">
        <v>100</v>
      </c>
      <c r="Q29" s="14"/>
      <c r="R29" s="14"/>
      <c r="S29" s="14"/>
      <c r="T29" s="14"/>
      <c r="U29" s="14"/>
      <c r="V29" s="14"/>
      <c r="W29" s="243"/>
      <c r="X29" s="243"/>
      <c r="Y29" s="243"/>
      <c r="Z29" s="243"/>
      <c r="AA29" s="243"/>
      <c r="AB29" s="14"/>
      <c r="AC29" s="14"/>
      <c r="AD29" s="14"/>
      <c r="AE29" s="14"/>
      <c r="AF29" s="14"/>
      <c r="AG29" s="14"/>
    </row>
    <row r="30" spans="1:33" s="116" customFormat="1" ht="20.100000000000001" customHeight="1">
      <c r="A30" s="14"/>
      <c r="C30" s="14"/>
      <c r="D30" s="14"/>
      <c r="E30" s="278"/>
      <c r="F30" s="14"/>
      <c r="G30" s="14"/>
      <c r="H30" s="14"/>
      <c r="I30" s="14"/>
      <c r="J30" s="14"/>
      <c r="K30" s="14"/>
      <c r="L30" s="14"/>
      <c r="M30" s="14"/>
      <c r="N30" s="14"/>
      <c r="O30" s="241"/>
      <c r="P30" s="14"/>
      <c r="Q30" s="14"/>
      <c r="R30" s="14"/>
      <c r="S30" s="14"/>
      <c r="T30" s="14"/>
      <c r="U30" s="14"/>
      <c r="V30" s="14"/>
      <c r="W30" s="243"/>
      <c r="X30" s="243"/>
      <c r="Y30" s="243"/>
      <c r="Z30" s="243"/>
      <c r="AA30" s="243"/>
      <c r="AB30" s="244"/>
      <c r="AC30" s="244"/>
      <c r="AD30" s="14"/>
      <c r="AE30" s="14"/>
      <c r="AF30" s="14"/>
      <c r="AG30" s="14"/>
    </row>
    <row r="31" spans="1:33" s="116" customFormat="1" ht="19.5" customHeight="1">
      <c r="A31" s="14"/>
      <c r="C31" s="14"/>
      <c r="D31" s="14"/>
      <c r="E31" s="282"/>
      <c r="F31" s="14"/>
      <c r="G31" s="14"/>
      <c r="H31" s="14"/>
      <c r="I31" s="14"/>
      <c r="J31" s="14"/>
      <c r="K31" s="14"/>
      <c r="L31" s="14"/>
      <c r="M31" s="14"/>
      <c r="N31" s="14"/>
      <c r="O31" s="241"/>
      <c r="P31" s="14"/>
      <c r="Q31" s="14"/>
      <c r="R31" s="14"/>
      <c r="S31" s="14"/>
      <c r="T31" s="14"/>
      <c r="U31" s="14"/>
      <c r="V31" s="14"/>
      <c r="W31" s="243"/>
      <c r="X31" s="243"/>
      <c r="Y31" s="243"/>
      <c r="Z31" s="243"/>
      <c r="AA31" s="243"/>
      <c r="AB31" s="244"/>
      <c r="AC31" s="244"/>
      <c r="AD31" s="14"/>
      <c r="AE31" s="14"/>
      <c r="AF31" s="14"/>
      <c r="AG31" s="14"/>
    </row>
    <row r="32" spans="1:33" s="116" customFormat="1" ht="20.100000000000001" customHeight="1">
      <c r="A32" s="14"/>
      <c r="C32" s="14"/>
      <c r="D32" s="14"/>
      <c r="E32" s="282"/>
      <c r="F32" s="14"/>
      <c r="G32" s="14"/>
      <c r="H32" s="14"/>
      <c r="I32" s="14"/>
      <c r="J32" s="14"/>
      <c r="K32" s="14"/>
      <c r="L32" s="14"/>
      <c r="M32" s="14"/>
      <c r="N32" s="14"/>
      <c r="O32" s="241"/>
      <c r="P32" s="14"/>
      <c r="Q32" s="14"/>
      <c r="R32" s="14"/>
      <c r="S32" s="14"/>
      <c r="T32" s="14"/>
      <c r="U32" s="14"/>
      <c r="V32" s="14"/>
      <c r="W32" s="243"/>
      <c r="X32" s="243"/>
      <c r="Y32" s="243"/>
      <c r="Z32" s="243"/>
      <c r="AA32" s="243"/>
      <c r="AB32" s="244"/>
      <c r="AC32" s="244"/>
      <c r="AD32" s="14"/>
      <c r="AE32" s="14"/>
      <c r="AF32" s="14"/>
      <c r="AG32" s="14"/>
    </row>
    <row r="33" spans="1:33" s="116" customFormat="1" ht="20.100000000000001" customHeight="1">
      <c r="A33" s="14"/>
      <c r="C33" s="14">
        <v>1839268518</v>
      </c>
      <c r="D33" s="14" t="s">
        <v>558</v>
      </c>
      <c r="E33" s="282" t="s">
        <v>392</v>
      </c>
      <c r="F33" s="14"/>
      <c r="G33" s="14"/>
      <c r="H33" s="14"/>
      <c r="I33" s="14"/>
      <c r="J33" s="14"/>
      <c r="K33" s="14"/>
      <c r="L33" s="14">
        <v>200</v>
      </c>
      <c r="M33" s="14"/>
      <c r="N33" s="14"/>
      <c r="O33" s="241"/>
      <c r="P33" s="14"/>
      <c r="Q33" s="14"/>
      <c r="R33" s="14"/>
      <c r="S33" s="14"/>
      <c r="T33" s="14"/>
      <c r="U33" s="14"/>
      <c r="V33" s="14"/>
      <c r="W33" s="243"/>
      <c r="X33" s="243"/>
      <c r="Y33" s="243"/>
      <c r="Z33" s="243"/>
      <c r="AA33" s="243"/>
      <c r="AB33" s="244"/>
      <c r="AC33" s="244"/>
      <c r="AD33" s="14"/>
      <c r="AE33" s="14"/>
      <c r="AF33" s="14"/>
      <c r="AG33" s="14"/>
    </row>
    <row r="34" spans="1:33" s="116" customFormat="1" ht="20.100000000000001" customHeight="1">
      <c r="A34" s="14"/>
      <c r="C34" s="14">
        <v>1509576334</v>
      </c>
      <c r="D34" s="14" t="s">
        <v>560</v>
      </c>
      <c r="E34" s="282" t="s">
        <v>531</v>
      </c>
      <c r="F34" s="14"/>
      <c r="G34" s="14"/>
      <c r="H34" s="14"/>
      <c r="I34" s="14"/>
      <c r="J34" s="14"/>
      <c r="K34" s="14"/>
      <c r="L34" s="14">
        <v>100</v>
      </c>
      <c r="M34" s="14"/>
      <c r="N34" s="14"/>
      <c r="O34" s="241"/>
      <c r="P34" s="14"/>
      <c r="Q34" s="14"/>
      <c r="R34" s="14"/>
      <c r="S34" s="14"/>
      <c r="T34" s="14"/>
      <c r="U34" s="14"/>
      <c r="V34" s="14"/>
      <c r="W34" s="243"/>
      <c r="X34" s="243"/>
      <c r="Y34" s="243"/>
      <c r="Z34" s="243"/>
      <c r="AA34" s="243"/>
      <c r="AB34" s="244"/>
      <c r="AC34" s="244"/>
      <c r="AD34" s="14"/>
      <c r="AE34" s="14"/>
      <c r="AF34" s="14"/>
      <c r="AG34" s="14"/>
    </row>
    <row r="35" spans="1:33" s="116" customFormat="1" ht="20.100000000000001" customHeight="1">
      <c r="A35" s="14"/>
      <c r="C35" s="14"/>
      <c r="D35" s="14"/>
      <c r="E35" s="278"/>
      <c r="F35" s="14"/>
      <c r="G35" s="14"/>
      <c r="H35" s="14"/>
      <c r="I35" s="14"/>
      <c r="J35" s="14"/>
      <c r="K35" s="14"/>
      <c r="L35" s="14"/>
      <c r="M35" s="14"/>
      <c r="N35" s="14"/>
      <c r="O35" s="241"/>
      <c r="P35" s="14"/>
      <c r="Q35" s="14"/>
      <c r="R35" s="14"/>
      <c r="S35" s="14"/>
      <c r="T35" s="14"/>
      <c r="U35" s="14"/>
      <c r="V35" s="14"/>
      <c r="W35" s="243"/>
      <c r="X35" s="243"/>
      <c r="Y35" s="243"/>
      <c r="Z35" s="243"/>
      <c r="AA35" s="243"/>
      <c r="AB35" s="244"/>
      <c r="AC35" s="244"/>
      <c r="AD35" s="14"/>
      <c r="AE35" s="14"/>
      <c r="AF35" s="14"/>
      <c r="AG35" s="14"/>
    </row>
    <row r="36" spans="1:33" s="116" customFormat="1" ht="20.100000000000001" customHeight="1">
      <c r="A36" s="14"/>
      <c r="C36" s="14"/>
      <c r="D36" s="14"/>
      <c r="E36" s="278"/>
      <c r="F36" s="14"/>
      <c r="G36" s="14"/>
      <c r="H36" s="14"/>
      <c r="I36" s="14"/>
      <c r="J36" s="14"/>
      <c r="K36" s="14"/>
      <c r="L36" s="14"/>
      <c r="M36" s="14"/>
      <c r="N36" s="14"/>
      <c r="O36" s="241"/>
      <c r="P36" s="14"/>
      <c r="Q36" s="14"/>
      <c r="R36" s="14"/>
      <c r="S36" s="14"/>
      <c r="T36" s="14"/>
      <c r="U36" s="14"/>
      <c r="V36" s="14"/>
      <c r="W36" s="243"/>
      <c r="X36" s="243"/>
      <c r="Y36" s="243"/>
      <c r="Z36" s="243"/>
      <c r="AA36" s="243"/>
      <c r="AB36" s="244"/>
      <c r="AC36" s="244"/>
      <c r="AD36" s="14"/>
      <c r="AE36" s="14"/>
      <c r="AF36" s="14"/>
      <c r="AG36" s="14"/>
    </row>
    <row r="37" spans="1:33" s="116" customFormat="1" ht="20.100000000000001" customHeight="1">
      <c r="A37" s="14"/>
      <c r="C37" s="14"/>
      <c r="D37" s="14"/>
      <c r="E37" s="278"/>
      <c r="F37" s="14"/>
      <c r="G37" s="14"/>
      <c r="H37" s="14"/>
      <c r="I37" s="14"/>
      <c r="J37" s="14"/>
      <c r="K37" s="14"/>
      <c r="L37" s="14"/>
      <c r="M37" s="14"/>
      <c r="N37" s="14"/>
      <c r="O37" s="241"/>
      <c r="P37" s="14"/>
      <c r="Q37" s="14"/>
      <c r="R37" s="14"/>
      <c r="S37" s="14"/>
      <c r="T37" s="14"/>
      <c r="U37" s="14"/>
      <c r="V37" s="14"/>
      <c r="W37" s="243"/>
      <c r="X37" s="243"/>
      <c r="Y37" s="243"/>
      <c r="Z37" s="243"/>
      <c r="AA37" s="243"/>
      <c r="AB37" s="244"/>
      <c r="AC37" s="244"/>
      <c r="AD37" s="14"/>
      <c r="AE37" s="14"/>
      <c r="AF37" s="14"/>
      <c r="AG37" s="14"/>
    </row>
    <row r="38" spans="1:33" s="271" customFormat="1" ht="20.100000000000001" customHeight="1">
      <c r="A38" s="272"/>
      <c r="C38" s="272"/>
      <c r="D38" s="272"/>
      <c r="E38" s="279"/>
      <c r="F38" s="272"/>
      <c r="G38" s="272"/>
      <c r="H38" s="272"/>
      <c r="I38" s="272"/>
      <c r="J38" s="272"/>
      <c r="K38" s="272"/>
      <c r="L38" s="272"/>
      <c r="M38" s="272"/>
      <c r="N38" s="272"/>
      <c r="O38" s="273"/>
      <c r="P38" s="272"/>
      <c r="Q38" s="272"/>
      <c r="R38" s="272"/>
      <c r="S38" s="272"/>
      <c r="T38" s="272"/>
      <c r="U38" s="272"/>
      <c r="V38" s="272"/>
      <c r="W38" s="274"/>
      <c r="X38" s="274"/>
      <c r="Y38" s="274"/>
      <c r="Z38" s="274"/>
      <c r="AA38" s="274"/>
      <c r="AB38" s="272"/>
      <c r="AC38" s="272"/>
      <c r="AD38" s="272"/>
      <c r="AE38" s="272"/>
      <c r="AF38" s="272"/>
      <c r="AG38" s="272"/>
    </row>
    <row r="39" spans="1:33" s="116" customFormat="1" ht="20.100000000000001" customHeight="1">
      <c r="A39" s="14"/>
      <c r="B39" s="284">
        <v>45996</v>
      </c>
      <c r="C39" s="14"/>
      <c r="D39" s="14"/>
      <c r="E39" s="282"/>
      <c r="F39" s="14"/>
      <c r="G39" s="14"/>
      <c r="H39" s="14"/>
      <c r="I39" s="14"/>
      <c r="J39" s="14"/>
      <c r="K39" s="14"/>
      <c r="L39" s="14"/>
      <c r="M39" s="14"/>
      <c r="N39" s="14"/>
      <c r="O39" s="241"/>
      <c r="P39" s="14"/>
      <c r="Q39" s="14"/>
      <c r="R39" s="14"/>
      <c r="S39" s="14"/>
      <c r="T39" s="14"/>
      <c r="U39" s="14"/>
      <c r="V39" s="14"/>
      <c r="W39" s="243"/>
      <c r="X39" s="243"/>
      <c r="Y39" s="243"/>
      <c r="Z39" s="243"/>
      <c r="AA39" s="243"/>
      <c r="AB39" s="14"/>
      <c r="AC39" s="14"/>
      <c r="AD39" s="14"/>
      <c r="AE39" s="14"/>
      <c r="AF39" s="14"/>
      <c r="AG39" s="14"/>
    </row>
    <row r="40" spans="1:33" s="116" customFormat="1" ht="20.100000000000001" customHeight="1">
      <c r="A40" s="14"/>
      <c r="B40" s="284"/>
      <c r="C40" s="14">
        <v>1091056146</v>
      </c>
      <c r="D40" s="14" t="s">
        <v>515</v>
      </c>
      <c r="E40" s="282" t="s">
        <v>552</v>
      </c>
      <c r="F40" s="14">
        <v>200</v>
      </c>
      <c r="G40" s="14"/>
      <c r="H40" s="14"/>
      <c r="I40" s="14"/>
      <c r="J40" s="14"/>
      <c r="K40" s="14"/>
      <c r="L40" s="14"/>
      <c r="M40" s="14"/>
      <c r="N40" s="14"/>
      <c r="O40" s="241"/>
      <c r="P40" s="14">
        <v>100</v>
      </c>
      <c r="Q40" s="14"/>
      <c r="R40" s="14"/>
      <c r="S40" s="14"/>
      <c r="T40" s="14"/>
      <c r="U40" s="14"/>
      <c r="V40" s="14"/>
      <c r="W40" s="243"/>
      <c r="X40" s="243"/>
      <c r="Y40" s="243"/>
      <c r="Z40" s="243"/>
      <c r="AA40" s="243"/>
      <c r="AB40" s="14"/>
      <c r="AC40" s="14"/>
      <c r="AD40" s="14"/>
      <c r="AE40" s="14"/>
      <c r="AF40" s="14"/>
      <c r="AG40" s="14"/>
    </row>
    <row r="41" spans="1:33" s="116" customFormat="1" ht="20.100000000000001" customHeight="1">
      <c r="A41" s="14"/>
      <c r="C41" s="14">
        <v>36536114</v>
      </c>
      <c r="D41" s="14" t="s">
        <v>517</v>
      </c>
      <c r="E41" s="282" t="s">
        <v>526</v>
      </c>
      <c r="F41" s="14">
        <v>200</v>
      </c>
      <c r="G41" s="14"/>
      <c r="H41" s="14"/>
      <c r="I41" s="14"/>
      <c r="J41" s="14"/>
      <c r="K41" s="14"/>
      <c r="L41" s="14"/>
      <c r="M41" s="14"/>
      <c r="N41" s="14"/>
      <c r="O41" s="241"/>
      <c r="P41" s="14">
        <v>100</v>
      </c>
      <c r="Q41" s="14"/>
      <c r="R41" s="14"/>
      <c r="S41" s="14"/>
      <c r="T41" s="14"/>
      <c r="U41" s="14"/>
      <c r="V41" s="14"/>
      <c r="W41" s="243"/>
      <c r="X41" s="243"/>
      <c r="Y41" s="243"/>
      <c r="Z41" s="243"/>
      <c r="AA41" s="243"/>
      <c r="AB41" s="14"/>
      <c r="AC41" s="14"/>
      <c r="AD41" s="14"/>
      <c r="AE41" s="14"/>
      <c r="AF41" s="14"/>
      <c r="AG41" s="14"/>
    </row>
    <row r="42" spans="1:33" s="116" customFormat="1" ht="20.100000000000001" customHeight="1">
      <c r="A42" s="14"/>
      <c r="C42" s="14">
        <v>1029063503</v>
      </c>
      <c r="D42" s="14" t="s">
        <v>516</v>
      </c>
      <c r="E42" s="282" t="s">
        <v>527</v>
      </c>
      <c r="F42" s="14">
        <v>300</v>
      </c>
      <c r="G42" s="14"/>
      <c r="H42" s="14"/>
      <c r="I42" s="14"/>
      <c r="J42" s="14"/>
      <c r="K42" s="14"/>
      <c r="L42" s="14"/>
      <c r="M42" s="14"/>
      <c r="N42" s="14"/>
      <c r="O42" s="241"/>
      <c r="P42" s="14">
        <v>100</v>
      </c>
      <c r="Q42" s="14"/>
      <c r="R42" s="14"/>
      <c r="S42" s="14"/>
      <c r="T42" s="14"/>
      <c r="U42" s="14"/>
      <c r="V42" s="14"/>
      <c r="W42" s="243"/>
      <c r="X42" s="243"/>
      <c r="Y42" s="243"/>
      <c r="Z42" s="243"/>
      <c r="AA42" s="243"/>
      <c r="AB42" s="14"/>
      <c r="AC42" s="14"/>
      <c r="AD42" s="14"/>
      <c r="AE42" s="14"/>
      <c r="AF42" s="14"/>
      <c r="AG42" s="14"/>
    </row>
    <row r="43" spans="1:33" s="116" customFormat="1" ht="20.100000000000001" customHeight="1">
      <c r="A43" s="14"/>
      <c r="C43" s="14">
        <v>1814512864</v>
      </c>
      <c r="D43" s="14" t="s">
        <v>514</v>
      </c>
      <c r="E43" s="201" t="s">
        <v>570</v>
      </c>
      <c r="F43" s="14">
        <v>100</v>
      </c>
      <c r="G43" s="14"/>
      <c r="H43" s="14"/>
      <c r="I43" s="14"/>
      <c r="J43" s="14"/>
      <c r="K43" s="14"/>
      <c r="L43" s="14"/>
      <c r="M43" s="14"/>
      <c r="N43" s="14"/>
      <c r="O43" s="241"/>
      <c r="P43" s="14">
        <v>50</v>
      </c>
      <c r="Q43" s="14"/>
      <c r="R43" s="14"/>
      <c r="S43" s="14"/>
      <c r="T43" s="14"/>
      <c r="U43" s="14"/>
      <c r="V43" s="14"/>
      <c r="W43" s="243"/>
      <c r="X43" s="243"/>
      <c r="Y43" s="243"/>
      <c r="Z43" s="243"/>
      <c r="AA43" s="243"/>
      <c r="AB43" s="14"/>
      <c r="AC43" s="14"/>
      <c r="AD43" s="14"/>
      <c r="AE43" s="14"/>
      <c r="AF43" s="14"/>
      <c r="AG43" s="14"/>
    </row>
    <row r="44" spans="1:33" s="116" customFormat="1" ht="20.100000000000001" customHeight="1">
      <c r="A44" s="14"/>
      <c r="C44" s="14">
        <v>1864889927</v>
      </c>
      <c r="D44" s="14" t="s">
        <v>513</v>
      </c>
      <c r="E44" s="201" t="s">
        <v>571</v>
      </c>
      <c r="F44" s="14">
        <v>100</v>
      </c>
      <c r="G44" s="14"/>
      <c r="H44" s="14"/>
      <c r="I44" s="14"/>
      <c r="J44" s="14"/>
      <c r="K44" s="14"/>
      <c r="L44" s="14"/>
      <c r="M44" s="14"/>
      <c r="N44" s="14"/>
      <c r="O44" s="241"/>
      <c r="P44" s="14">
        <v>50</v>
      </c>
      <c r="Q44" s="14"/>
      <c r="R44" s="14"/>
      <c r="S44" s="14"/>
      <c r="T44" s="14"/>
      <c r="U44" s="14"/>
      <c r="V44" s="14"/>
      <c r="W44" s="243"/>
      <c r="X44" s="243"/>
      <c r="Y44" s="243"/>
      <c r="Z44" s="243"/>
      <c r="AA44" s="243"/>
      <c r="AB44" s="14"/>
      <c r="AC44" s="14"/>
      <c r="AD44" s="14"/>
      <c r="AE44" s="14"/>
      <c r="AF44" s="14"/>
      <c r="AG44" s="14"/>
    </row>
    <row r="45" spans="1:33" s="116" customFormat="1" ht="20.100000000000001" customHeight="1">
      <c r="A45" s="14"/>
      <c r="C45" s="14"/>
      <c r="D45" s="14"/>
      <c r="E45" s="282"/>
      <c r="F45" s="14"/>
      <c r="G45" s="14"/>
      <c r="H45" s="14"/>
      <c r="I45" s="14"/>
      <c r="J45" s="14"/>
      <c r="K45" s="14"/>
      <c r="L45" s="14"/>
      <c r="M45" s="14"/>
      <c r="N45" s="14"/>
      <c r="O45" s="241"/>
      <c r="P45" s="14"/>
      <c r="Q45" s="14"/>
      <c r="R45" s="14"/>
      <c r="S45" s="14"/>
      <c r="T45" s="14"/>
      <c r="U45" s="14"/>
      <c r="V45" s="14"/>
      <c r="W45" s="243"/>
      <c r="X45" s="243"/>
      <c r="Y45" s="243"/>
      <c r="Z45" s="243"/>
      <c r="AA45" s="243"/>
      <c r="AB45" s="14"/>
      <c r="AC45" s="14"/>
      <c r="AD45" s="14"/>
      <c r="AE45" s="14"/>
      <c r="AF45" s="14"/>
      <c r="AG45" s="14"/>
    </row>
    <row r="46" spans="1:33" s="116" customFormat="1" ht="20.100000000000001" customHeight="1">
      <c r="A46" s="14"/>
      <c r="C46" s="14">
        <v>1848049619</v>
      </c>
      <c r="D46" s="14" t="s">
        <v>36</v>
      </c>
      <c r="E46" s="282"/>
      <c r="F46" s="14"/>
      <c r="G46" s="14">
        <v>200</v>
      </c>
      <c r="H46" s="14"/>
      <c r="I46" s="14"/>
      <c r="J46" s="14"/>
      <c r="K46" s="14"/>
      <c r="L46" s="14"/>
      <c r="M46" s="14"/>
      <c r="N46" s="14"/>
      <c r="O46" s="241"/>
      <c r="P46" s="14">
        <v>100</v>
      </c>
      <c r="Q46" s="14"/>
      <c r="R46" s="14"/>
      <c r="S46" s="14"/>
      <c r="T46" s="14"/>
      <c r="U46" s="14"/>
      <c r="V46" s="14"/>
      <c r="W46" s="243"/>
      <c r="X46" s="243"/>
      <c r="Y46" s="243"/>
      <c r="Z46" s="243"/>
      <c r="AA46" s="243"/>
      <c r="AB46" s="14"/>
      <c r="AC46" s="14"/>
      <c r="AD46" s="14"/>
      <c r="AE46" s="14"/>
      <c r="AF46" s="14"/>
      <c r="AG46" s="14"/>
    </row>
    <row r="47" spans="1:33" s="116" customFormat="1" ht="20.100000000000001" customHeight="1">
      <c r="A47" s="14"/>
      <c r="C47" s="14">
        <v>1165597556</v>
      </c>
      <c r="D47" s="14" t="s">
        <v>37</v>
      </c>
      <c r="E47" s="282" t="s">
        <v>520</v>
      </c>
      <c r="F47" s="14"/>
      <c r="G47" s="14"/>
      <c r="H47" s="14">
        <v>300</v>
      </c>
      <c r="I47" s="14"/>
      <c r="J47" s="14"/>
      <c r="K47" s="14"/>
      <c r="L47" s="14"/>
      <c r="M47" s="14"/>
      <c r="N47" s="14"/>
      <c r="O47" s="241"/>
      <c r="P47" s="14">
        <v>100</v>
      </c>
      <c r="Q47" s="14"/>
      <c r="R47" s="14"/>
      <c r="S47" s="14"/>
      <c r="T47" s="14"/>
      <c r="U47" s="14"/>
      <c r="V47" s="14"/>
      <c r="W47" s="243"/>
      <c r="X47" s="243"/>
      <c r="Y47" s="243"/>
      <c r="Z47" s="243"/>
      <c r="AA47" s="243"/>
      <c r="AB47" s="14"/>
      <c r="AC47" s="14"/>
      <c r="AD47" s="14"/>
      <c r="AE47" s="14"/>
      <c r="AF47" s="14"/>
      <c r="AG47" s="14"/>
    </row>
    <row r="48" spans="1:33" s="116" customFormat="1" ht="20.100000000000001" customHeight="1">
      <c r="A48" s="14"/>
      <c r="C48" s="14">
        <v>267802526</v>
      </c>
      <c r="D48" s="14" t="s">
        <v>171</v>
      </c>
      <c r="E48" s="282" t="s">
        <v>521</v>
      </c>
      <c r="F48" s="14"/>
      <c r="G48" s="14"/>
      <c r="H48" s="14">
        <v>300</v>
      </c>
      <c r="I48" s="14"/>
      <c r="J48" s="14"/>
      <c r="K48" s="14"/>
      <c r="L48" s="14"/>
      <c r="M48" s="14"/>
      <c r="N48" s="14"/>
      <c r="O48" s="241"/>
      <c r="P48" s="14">
        <v>200</v>
      </c>
      <c r="Q48" s="14"/>
      <c r="R48" s="14"/>
      <c r="S48" s="14"/>
      <c r="T48" s="14"/>
      <c r="U48" s="14"/>
      <c r="V48" s="14"/>
      <c r="W48" s="243"/>
      <c r="X48" s="243"/>
      <c r="Y48" s="243"/>
      <c r="Z48" s="243"/>
      <c r="AA48" s="243"/>
      <c r="AB48" s="14"/>
      <c r="AC48" s="14"/>
      <c r="AD48" s="14"/>
      <c r="AE48" s="14"/>
      <c r="AF48" s="14"/>
      <c r="AG48" s="14"/>
    </row>
    <row r="49" spans="1:33" s="116" customFormat="1" ht="20.100000000000001" customHeight="1">
      <c r="A49" s="14"/>
      <c r="C49" s="14">
        <v>1575722042</v>
      </c>
      <c r="D49" s="14" t="s">
        <v>522</v>
      </c>
      <c r="E49" s="282" t="s">
        <v>523</v>
      </c>
      <c r="F49" s="14"/>
      <c r="G49" s="14"/>
      <c r="H49" s="14"/>
      <c r="I49" s="14"/>
      <c r="J49" s="14"/>
      <c r="K49" s="14"/>
      <c r="L49" s="14"/>
      <c r="M49" s="14"/>
      <c r="N49" s="14"/>
      <c r="O49" s="241"/>
      <c r="P49" s="14">
        <v>100</v>
      </c>
      <c r="Q49" s="14"/>
      <c r="R49" s="14"/>
      <c r="S49" s="14"/>
      <c r="T49" s="14"/>
      <c r="U49" s="14"/>
      <c r="V49" s="14"/>
      <c r="W49" s="243"/>
      <c r="X49" s="243"/>
      <c r="Y49" s="243"/>
      <c r="Z49" s="243"/>
      <c r="AA49" s="243"/>
      <c r="AB49" s="14"/>
      <c r="AC49" s="14"/>
      <c r="AD49" s="14"/>
      <c r="AE49" s="14"/>
      <c r="AF49" s="14"/>
      <c r="AG49" s="14"/>
    </row>
    <row r="50" spans="1:33" s="116" customFormat="1" ht="20.100000000000001" customHeight="1">
      <c r="A50" s="14"/>
      <c r="C50" s="14"/>
      <c r="D50" s="14"/>
      <c r="E50" s="278"/>
      <c r="F50" s="14"/>
      <c r="G50" s="14"/>
      <c r="H50" s="14"/>
      <c r="I50" s="14"/>
      <c r="J50" s="14"/>
      <c r="K50" s="14"/>
      <c r="L50" s="14"/>
      <c r="M50" s="14"/>
      <c r="N50" s="14"/>
      <c r="O50" s="241"/>
      <c r="P50" s="14"/>
      <c r="Q50" s="14"/>
      <c r="R50" s="14"/>
      <c r="S50" s="14"/>
      <c r="T50" s="14"/>
      <c r="U50" s="14"/>
      <c r="V50" s="14"/>
      <c r="W50" s="243"/>
      <c r="X50" s="243"/>
      <c r="Y50" s="243"/>
      <c r="Z50" s="243"/>
      <c r="AA50" s="243"/>
      <c r="AB50" s="244"/>
      <c r="AC50" s="244"/>
      <c r="AD50" s="14"/>
      <c r="AE50" s="14"/>
      <c r="AF50" s="14"/>
      <c r="AG50" s="14"/>
    </row>
    <row r="51" spans="1:33" s="116" customFormat="1" ht="20.100000000000001" customHeight="1">
      <c r="A51" s="14"/>
      <c r="C51" s="14">
        <v>2099188087</v>
      </c>
      <c r="D51" s="14" t="s">
        <v>503</v>
      </c>
      <c r="E51" s="285" t="s">
        <v>572</v>
      </c>
      <c r="F51" s="14">
        <v>200</v>
      </c>
      <c r="G51" s="14"/>
      <c r="H51" s="14"/>
      <c r="I51" s="14"/>
      <c r="J51" s="14"/>
      <c r="K51" s="14"/>
      <c r="L51" s="14"/>
      <c r="M51" s="14"/>
      <c r="N51" s="14"/>
      <c r="O51" s="241">
        <v>100</v>
      </c>
      <c r="P51" s="14"/>
      <c r="Q51" s="14"/>
      <c r="R51" s="14"/>
      <c r="S51" s="14"/>
      <c r="T51" s="14"/>
      <c r="U51" s="14"/>
      <c r="V51" s="14"/>
      <c r="W51" s="243"/>
      <c r="X51" s="243"/>
      <c r="Y51" s="243"/>
      <c r="Z51" s="243"/>
      <c r="AA51" s="243"/>
      <c r="AB51" s="244"/>
      <c r="AC51" s="244"/>
      <c r="AD51" s="14"/>
      <c r="AE51" s="14"/>
      <c r="AF51" s="14"/>
      <c r="AG51" s="14"/>
    </row>
    <row r="52" spans="1:33" s="116" customFormat="1" ht="20.100000000000001" customHeight="1">
      <c r="A52" s="14"/>
      <c r="C52" s="14">
        <v>1596131027</v>
      </c>
      <c r="D52" s="14" t="s">
        <v>573</v>
      </c>
      <c r="E52" s="285" t="s">
        <v>574</v>
      </c>
      <c r="F52" s="14">
        <v>200</v>
      </c>
      <c r="G52" s="14"/>
      <c r="H52" s="14"/>
      <c r="I52" s="14"/>
      <c r="J52" s="14"/>
      <c r="K52" s="14"/>
      <c r="L52" s="14"/>
      <c r="M52" s="14"/>
      <c r="N52" s="14"/>
      <c r="O52" s="241">
        <v>100</v>
      </c>
      <c r="P52" s="14"/>
      <c r="Q52" s="14"/>
      <c r="R52" s="14"/>
      <c r="S52" s="14"/>
      <c r="T52" s="14"/>
      <c r="U52" s="14"/>
      <c r="V52" s="14"/>
      <c r="W52" s="243"/>
      <c r="X52" s="243"/>
      <c r="Y52" s="243"/>
      <c r="Z52" s="243"/>
      <c r="AA52" s="243"/>
      <c r="AB52" s="244"/>
      <c r="AC52" s="244"/>
      <c r="AD52" s="14"/>
      <c r="AE52" s="14"/>
      <c r="AF52" s="14"/>
      <c r="AG52" s="14"/>
    </row>
    <row r="53" spans="1:33" s="116" customFormat="1" ht="20.100000000000001" customHeight="1">
      <c r="A53" s="14"/>
      <c r="C53" s="14"/>
      <c r="D53" s="14"/>
      <c r="E53" s="278"/>
      <c r="F53" s="14"/>
      <c r="G53" s="14"/>
      <c r="H53" s="14"/>
      <c r="I53" s="14"/>
      <c r="J53" s="14"/>
      <c r="K53" s="14"/>
      <c r="L53" s="14"/>
      <c r="M53" s="14"/>
      <c r="N53" s="14"/>
      <c r="O53" s="241"/>
      <c r="P53" s="14"/>
      <c r="Q53" s="14"/>
      <c r="R53" s="14"/>
      <c r="S53" s="14"/>
      <c r="T53" s="14"/>
      <c r="U53" s="14"/>
      <c r="V53" s="14"/>
      <c r="W53" s="243"/>
      <c r="X53" s="243"/>
      <c r="Y53" s="243"/>
      <c r="Z53" s="243"/>
      <c r="AA53" s="243"/>
      <c r="AB53" s="244"/>
      <c r="AC53" s="244"/>
      <c r="AD53" s="14"/>
      <c r="AE53" s="14"/>
      <c r="AF53" s="14"/>
      <c r="AG53" s="14"/>
    </row>
    <row r="54" spans="1:33" s="116" customFormat="1" ht="20.100000000000001" customHeight="1">
      <c r="A54" s="14"/>
      <c r="C54" s="14"/>
      <c r="D54" s="14"/>
      <c r="E54" s="282"/>
      <c r="F54" s="14"/>
      <c r="G54" s="14"/>
      <c r="H54" s="14"/>
      <c r="I54" s="14"/>
      <c r="J54" s="14"/>
      <c r="K54" s="14"/>
      <c r="L54" s="14"/>
      <c r="M54" s="14"/>
      <c r="N54" s="14"/>
      <c r="O54" s="241"/>
      <c r="P54" s="14"/>
      <c r="Q54" s="14"/>
      <c r="R54" s="14"/>
      <c r="S54" s="14"/>
      <c r="T54" s="14"/>
      <c r="U54" s="14"/>
      <c r="V54" s="14"/>
      <c r="W54" s="243"/>
      <c r="X54" s="243"/>
      <c r="Y54" s="243"/>
      <c r="Z54" s="243"/>
      <c r="AA54" s="243"/>
      <c r="AB54" s="14"/>
      <c r="AC54" s="14"/>
      <c r="AD54" s="14"/>
      <c r="AE54" s="14"/>
      <c r="AF54" s="14"/>
      <c r="AG54" s="14"/>
    </row>
    <row r="55" spans="1:33" s="116" customFormat="1" ht="20.100000000000001" customHeight="1">
      <c r="A55" s="14"/>
      <c r="C55" s="14"/>
      <c r="D55" s="14"/>
      <c r="E55" s="282"/>
      <c r="F55" s="14"/>
      <c r="G55" s="14"/>
      <c r="H55" s="14"/>
      <c r="I55" s="14"/>
      <c r="J55" s="14"/>
      <c r="K55" s="14"/>
      <c r="L55" s="14"/>
      <c r="M55" s="14"/>
      <c r="N55" s="14"/>
      <c r="O55" s="241"/>
      <c r="P55" s="14"/>
      <c r="Q55" s="14"/>
      <c r="R55" s="14"/>
      <c r="S55" s="14"/>
      <c r="T55" s="14"/>
      <c r="U55" s="14"/>
      <c r="V55" s="14"/>
      <c r="W55" s="243"/>
      <c r="X55" s="243"/>
      <c r="Y55" s="243"/>
      <c r="Z55" s="243"/>
      <c r="AA55" s="243"/>
      <c r="AB55" s="14"/>
      <c r="AC55" s="14"/>
      <c r="AD55" s="14"/>
      <c r="AE55" s="14"/>
      <c r="AF55" s="14"/>
      <c r="AG55" s="14"/>
    </row>
    <row r="56" spans="1:33" s="116" customFormat="1" ht="20.100000000000001" customHeight="1">
      <c r="A56" s="14"/>
      <c r="C56" s="14">
        <v>1642603227</v>
      </c>
      <c r="D56" s="14" t="s">
        <v>211</v>
      </c>
      <c r="E56" s="282" t="s">
        <v>532</v>
      </c>
      <c r="F56" s="14">
        <v>200</v>
      </c>
      <c r="G56" s="14"/>
      <c r="H56" s="14"/>
      <c r="I56" s="14"/>
      <c r="J56" s="14"/>
      <c r="K56" s="14"/>
      <c r="L56" s="14"/>
      <c r="M56" s="14"/>
      <c r="N56" s="14"/>
      <c r="O56" s="241"/>
      <c r="P56" s="14"/>
      <c r="Q56" s="14"/>
      <c r="R56" s="14"/>
      <c r="S56" s="14">
        <v>5</v>
      </c>
      <c r="T56" s="14"/>
      <c r="U56" s="14"/>
      <c r="V56" s="14"/>
      <c r="W56" s="243"/>
      <c r="X56" s="243"/>
      <c r="Y56" s="243"/>
      <c r="Z56" s="243"/>
      <c r="AA56" s="243"/>
      <c r="AB56" s="14"/>
      <c r="AC56" s="14"/>
      <c r="AD56" s="14"/>
      <c r="AE56" s="14"/>
      <c r="AF56" s="14"/>
      <c r="AG56" s="14"/>
    </row>
    <row r="57" spans="1:33" s="116" customFormat="1" ht="20.100000000000001" customHeight="1">
      <c r="A57" s="14"/>
      <c r="C57" s="14">
        <v>1022013892</v>
      </c>
      <c r="D57" s="14" t="s">
        <v>554</v>
      </c>
      <c r="E57" s="282" t="s">
        <v>381</v>
      </c>
      <c r="F57" s="14">
        <v>200</v>
      </c>
      <c r="G57" s="14"/>
      <c r="H57" s="14"/>
      <c r="I57" s="14"/>
      <c r="J57" s="14"/>
      <c r="K57" s="14"/>
      <c r="L57" s="14"/>
      <c r="M57" s="14"/>
      <c r="N57" s="14"/>
      <c r="O57" s="241"/>
      <c r="P57" s="14"/>
      <c r="Q57" s="14"/>
      <c r="R57" s="14"/>
      <c r="S57" s="14">
        <v>7</v>
      </c>
      <c r="T57" s="14">
        <v>7</v>
      </c>
      <c r="U57" s="14"/>
      <c r="V57" s="14"/>
      <c r="W57" s="243"/>
      <c r="X57" s="243"/>
      <c r="Y57" s="243"/>
      <c r="Z57" s="243"/>
      <c r="AA57" s="243"/>
      <c r="AB57" s="14"/>
      <c r="AC57" s="14"/>
      <c r="AD57" s="14"/>
      <c r="AE57" s="14"/>
      <c r="AF57" s="14"/>
      <c r="AG57" s="14"/>
    </row>
    <row r="58" spans="1:33" s="116" customFormat="1" ht="20.100000000000001" customHeight="1">
      <c r="A58" s="14"/>
      <c r="C58" s="14">
        <v>1287821286</v>
      </c>
      <c r="D58" s="14" t="s">
        <v>555</v>
      </c>
      <c r="E58" s="282" t="s">
        <v>265</v>
      </c>
      <c r="F58" s="14">
        <v>200</v>
      </c>
      <c r="G58" s="14"/>
      <c r="H58" s="14"/>
      <c r="I58" s="14"/>
      <c r="J58" s="14"/>
      <c r="K58" s="14"/>
      <c r="L58" s="14"/>
      <c r="M58" s="14"/>
      <c r="N58" s="14"/>
      <c r="O58" s="241"/>
      <c r="P58" s="14"/>
      <c r="Q58" s="14"/>
      <c r="R58" s="14"/>
      <c r="S58" s="14">
        <v>5</v>
      </c>
      <c r="T58" s="14">
        <v>5</v>
      </c>
      <c r="U58" s="14"/>
      <c r="V58" s="14"/>
      <c r="W58" s="243"/>
      <c r="X58" s="243"/>
      <c r="Y58" s="243"/>
      <c r="Z58" s="243"/>
      <c r="AA58" s="243"/>
      <c r="AB58" s="14"/>
      <c r="AC58" s="14"/>
      <c r="AD58" s="14"/>
      <c r="AE58" s="14"/>
      <c r="AF58" s="14"/>
      <c r="AG58" s="14"/>
    </row>
    <row r="59" spans="1:33" s="116" customFormat="1" ht="20.100000000000001" customHeight="1">
      <c r="A59" s="14"/>
      <c r="C59" s="14">
        <v>1421207239</v>
      </c>
      <c r="D59" s="14" t="s">
        <v>556</v>
      </c>
      <c r="E59" s="282" t="s">
        <v>385</v>
      </c>
      <c r="F59" s="14"/>
      <c r="G59" s="14"/>
      <c r="H59" s="14"/>
      <c r="I59" s="14"/>
      <c r="J59" s="14"/>
      <c r="K59" s="14"/>
      <c r="L59" s="14"/>
      <c r="M59" s="14"/>
      <c r="N59" s="14"/>
      <c r="O59" s="241"/>
      <c r="P59" s="14"/>
      <c r="Q59" s="14"/>
      <c r="R59" s="14"/>
      <c r="S59" s="14"/>
      <c r="T59" s="14"/>
      <c r="U59" s="14"/>
      <c r="V59" s="14"/>
      <c r="W59" s="243"/>
      <c r="X59" s="243"/>
      <c r="Y59" s="243"/>
      <c r="Z59" s="243"/>
      <c r="AA59" s="243"/>
      <c r="AB59" s="14"/>
      <c r="AC59" s="14"/>
      <c r="AD59" s="14"/>
      <c r="AE59" s="14"/>
      <c r="AF59" s="14"/>
      <c r="AG59" s="14"/>
    </row>
    <row r="60" spans="1:33" s="116" customFormat="1" ht="20.100000000000001" customHeight="1">
      <c r="A60" s="14"/>
      <c r="C60" s="14">
        <v>1683089915</v>
      </c>
      <c r="D60" s="14" t="s">
        <v>557</v>
      </c>
      <c r="E60" s="282" t="s">
        <v>387</v>
      </c>
      <c r="F60" s="14">
        <v>100</v>
      </c>
      <c r="G60" s="14"/>
      <c r="H60" s="14"/>
      <c r="I60" s="14"/>
      <c r="J60" s="14"/>
      <c r="K60" s="14"/>
      <c r="L60" s="14"/>
      <c r="M60" s="14"/>
      <c r="N60" s="14"/>
      <c r="O60" s="241"/>
      <c r="P60" s="14"/>
      <c r="Q60" s="14"/>
      <c r="R60" s="14"/>
      <c r="S60" s="14">
        <v>5</v>
      </c>
      <c r="T60" s="14"/>
      <c r="U60" s="14"/>
      <c r="V60" s="14"/>
      <c r="W60" s="243"/>
      <c r="X60" s="243"/>
      <c r="Y60" s="243"/>
      <c r="Z60" s="243"/>
      <c r="AA60" s="243"/>
      <c r="AB60" s="14"/>
      <c r="AC60" s="14"/>
      <c r="AD60" s="14"/>
      <c r="AE60" s="14"/>
      <c r="AF60" s="14"/>
      <c r="AG60" s="14"/>
    </row>
    <row r="61" spans="1:33" s="116" customFormat="1" ht="20.100000000000001" customHeight="1">
      <c r="A61" s="14"/>
      <c r="C61" s="14">
        <v>2035334597</v>
      </c>
      <c r="D61" s="14" t="s">
        <v>205</v>
      </c>
      <c r="E61" s="282" t="s">
        <v>390</v>
      </c>
      <c r="F61" s="14">
        <v>200</v>
      </c>
      <c r="G61" s="14"/>
      <c r="H61" s="14"/>
      <c r="I61" s="14"/>
      <c r="J61" s="14"/>
      <c r="K61" s="14"/>
      <c r="L61" s="14"/>
      <c r="M61" s="14"/>
      <c r="N61" s="14"/>
      <c r="O61" s="241"/>
      <c r="P61" s="14"/>
      <c r="Q61" s="14"/>
      <c r="R61" s="14"/>
      <c r="S61" s="14">
        <v>5</v>
      </c>
      <c r="T61" s="14"/>
      <c r="U61" s="14"/>
      <c r="V61" s="14"/>
      <c r="W61" s="243"/>
      <c r="X61" s="243"/>
      <c r="Y61" s="243"/>
      <c r="Z61" s="243"/>
      <c r="AA61" s="243"/>
      <c r="AB61" s="14"/>
      <c r="AC61" s="14"/>
      <c r="AD61" s="14"/>
      <c r="AE61" s="14"/>
      <c r="AF61" s="14"/>
      <c r="AG61" s="14"/>
    </row>
    <row r="62" spans="1:33" s="116" customFormat="1" ht="20.100000000000001" customHeight="1">
      <c r="A62" s="14"/>
      <c r="C62" s="14">
        <v>1839268518</v>
      </c>
      <c r="D62" s="14" t="s">
        <v>558</v>
      </c>
      <c r="E62" s="282" t="s">
        <v>392</v>
      </c>
      <c r="F62" s="14">
        <v>300</v>
      </c>
      <c r="G62" s="14"/>
      <c r="H62" s="14"/>
      <c r="I62" s="14"/>
      <c r="J62" s="14"/>
      <c r="K62" s="14"/>
      <c r="L62" s="14"/>
      <c r="M62" s="14"/>
      <c r="N62" s="14"/>
      <c r="O62" s="241"/>
      <c r="P62" s="14">
        <v>100</v>
      </c>
      <c r="Q62" s="14"/>
      <c r="R62" s="14"/>
      <c r="S62" s="14">
        <v>10</v>
      </c>
      <c r="T62" s="14">
        <v>10</v>
      </c>
      <c r="U62" s="14"/>
      <c r="V62" s="14"/>
      <c r="W62" s="243"/>
      <c r="X62" s="243"/>
      <c r="Y62" s="243"/>
      <c r="Z62" s="243"/>
      <c r="AA62" s="243"/>
      <c r="AB62" s="14"/>
      <c r="AC62" s="14"/>
      <c r="AD62" s="14"/>
      <c r="AE62" s="14"/>
      <c r="AF62" s="14"/>
      <c r="AG62" s="14"/>
    </row>
    <row r="63" spans="1:33" s="116" customFormat="1" ht="20.100000000000001" customHeight="1">
      <c r="A63" s="14"/>
      <c r="C63" s="14">
        <v>1872013382</v>
      </c>
      <c r="D63" s="14" t="s">
        <v>449</v>
      </c>
      <c r="E63" s="282" t="s">
        <v>547</v>
      </c>
      <c r="F63" s="14">
        <v>300</v>
      </c>
      <c r="G63" s="14"/>
      <c r="H63" s="14"/>
      <c r="I63" s="14"/>
      <c r="J63" s="14"/>
      <c r="K63" s="14"/>
      <c r="L63" s="14"/>
      <c r="M63" s="14"/>
      <c r="N63" s="14"/>
      <c r="O63" s="241"/>
      <c r="P63" s="14">
        <v>100</v>
      </c>
      <c r="Q63" s="14"/>
      <c r="R63" s="14"/>
      <c r="S63" s="14">
        <v>10</v>
      </c>
      <c r="T63" s="14"/>
      <c r="U63" s="14"/>
      <c r="V63" s="14"/>
      <c r="W63" s="243"/>
      <c r="X63" s="243"/>
      <c r="Y63" s="243"/>
      <c r="Z63" s="243"/>
      <c r="AA63" s="243"/>
      <c r="AB63" s="14"/>
      <c r="AC63" s="14"/>
      <c r="AD63" s="14"/>
      <c r="AE63" s="14"/>
      <c r="AF63" s="14"/>
      <c r="AG63" s="14"/>
    </row>
    <row r="64" spans="1:33" s="116" customFormat="1" ht="20.100000000000001" customHeight="1">
      <c r="A64" s="14"/>
      <c r="C64" s="14">
        <v>1632138788</v>
      </c>
      <c r="D64" s="14" t="s">
        <v>559</v>
      </c>
      <c r="E64" s="282" t="s">
        <v>530</v>
      </c>
      <c r="F64" s="14">
        <v>300</v>
      </c>
      <c r="G64" s="14"/>
      <c r="H64" s="14"/>
      <c r="I64" s="14"/>
      <c r="J64" s="14"/>
      <c r="K64" s="14"/>
      <c r="L64" s="14"/>
      <c r="M64" s="14"/>
      <c r="N64" s="14"/>
      <c r="O64" s="241"/>
      <c r="P64" s="14">
        <v>100</v>
      </c>
      <c r="Q64" s="14"/>
      <c r="R64" s="14"/>
      <c r="S64" s="14">
        <v>10</v>
      </c>
      <c r="T64" s="14"/>
      <c r="U64" s="14"/>
      <c r="V64" s="14"/>
      <c r="W64" s="243"/>
      <c r="X64" s="243"/>
      <c r="Y64" s="243"/>
      <c r="Z64" s="243"/>
      <c r="AA64" s="243"/>
      <c r="AB64" s="14"/>
      <c r="AC64" s="14"/>
      <c r="AD64" s="14"/>
      <c r="AE64" s="14"/>
      <c r="AF64" s="14"/>
      <c r="AG64" s="14"/>
    </row>
    <row r="65" spans="1:33" s="116" customFormat="1" ht="20.100000000000001" customHeight="1">
      <c r="A65" s="14"/>
      <c r="C65" s="14">
        <v>1509576334</v>
      </c>
      <c r="D65" s="14" t="s">
        <v>560</v>
      </c>
      <c r="E65" s="282" t="s">
        <v>531</v>
      </c>
      <c r="F65" s="14">
        <v>200</v>
      </c>
      <c r="G65" s="14"/>
      <c r="H65" s="14"/>
      <c r="I65" s="14"/>
      <c r="J65" s="14"/>
      <c r="K65" s="14"/>
      <c r="L65" s="14"/>
      <c r="M65" s="14"/>
      <c r="N65" s="14"/>
      <c r="O65" s="241"/>
      <c r="P65" s="14">
        <v>50</v>
      </c>
      <c r="Q65" s="14"/>
      <c r="R65" s="14"/>
      <c r="S65" s="14">
        <v>5</v>
      </c>
      <c r="T65" s="14">
        <v>5</v>
      </c>
      <c r="U65" s="14"/>
      <c r="V65" s="14"/>
      <c r="W65" s="243"/>
      <c r="X65" s="243"/>
      <c r="Y65" s="243"/>
      <c r="Z65" s="243"/>
      <c r="AA65" s="243"/>
      <c r="AB65" s="14"/>
      <c r="AC65" s="14"/>
      <c r="AD65" s="14"/>
      <c r="AE65" s="14"/>
      <c r="AF65" s="14"/>
      <c r="AG65" s="14"/>
    </row>
    <row r="66" spans="1:33" s="116" customFormat="1" ht="20.100000000000001" customHeight="1">
      <c r="A66" s="14"/>
      <c r="C66" s="14">
        <v>1201249206</v>
      </c>
      <c r="D66" s="14" t="s">
        <v>352</v>
      </c>
      <c r="E66" s="282" t="s">
        <v>394</v>
      </c>
      <c r="F66" s="14">
        <v>300</v>
      </c>
      <c r="G66" s="14"/>
      <c r="H66" s="14"/>
      <c r="I66" s="14"/>
      <c r="J66" s="14"/>
      <c r="K66" s="14"/>
      <c r="L66" s="14"/>
      <c r="M66" s="14"/>
      <c r="N66" s="14"/>
      <c r="O66" s="241"/>
      <c r="P66" s="14">
        <v>100</v>
      </c>
      <c r="Q66" s="14"/>
      <c r="R66" s="14"/>
      <c r="S66" s="14">
        <v>7</v>
      </c>
      <c r="T66" s="14">
        <v>7</v>
      </c>
      <c r="U66" s="14"/>
      <c r="V66" s="14"/>
      <c r="W66" s="243"/>
      <c r="X66" s="243"/>
      <c r="Y66" s="243"/>
      <c r="Z66" s="243"/>
      <c r="AA66" s="243"/>
      <c r="AB66" s="14"/>
      <c r="AC66" s="14"/>
      <c r="AD66" s="14"/>
      <c r="AE66" s="14"/>
      <c r="AF66" s="14"/>
      <c r="AG66" s="14"/>
    </row>
    <row r="67" spans="1:33" s="116" customFormat="1" ht="20.100000000000001" customHeight="1">
      <c r="A67" s="14"/>
      <c r="C67" s="14">
        <v>1898707389</v>
      </c>
      <c r="D67" s="14" t="s">
        <v>509</v>
      </c>
      <c r="E67" s="282" t="s">
        <v>548</v>
      </c>
      <c r="F67" s="14">
        <v>150</v>
      </c>
      <c r="G67" s="14"/>
      <c r="H67" s="14"/>
      <c r="I67" s="14"/>
      <c r="J67" s="14"/>
      <c r="K67" s="14"/>
      <c r="L67" s="14"/>
      <c r="M67" s="14"/>
      <c r="N67" s="14"/>
      <c r="O67" s="241"/>
      <c r="P67" s="14">
        <v>50</v>
      </c>
      <c r="Q67" s="14"/>
      <c r="R67" s="14"/>
      <c r="S67" s="14">
        <v>3</v>
      </c>
      <c r="T67" s="14"/>
      <c r="U67" s="14"/>
      <c r="V67" s="14"/>
      <c r="W67" s="243"/>
      <c r="X67" s="243"/>
      <c r="Y67" s="243"/>
      <c r="Z67" s="243"/>
      <c r="AA67" s="243"/>
      <c r="AB67" s="14"/>
      <c r="AC67" s="14"/>
      <c r="AD67" s="14"/>
      <c r="AE67" s="14"/>
      <c r="AF67" s="14"/>
      <c r="AG67" s="14"/>
    </row>
    <row r="68" spans="1:33" s="116" customFormat="1" ht="20.100000000000001" customHeight="1">
      <c r="A68" s="14"/>
      <c r="C68" s="14">
        <v>2056858156</v>
      </c>
      <c r="D68" s="14" t="s">
        <v>512</v>
      </c>
      <c r="E68" s="282" t="s">
        <v>549</v>
      </c>
      <c r="F68" s="14"/>
      <c r="G68" s="14"/>
      <c r="H68" s="14"/>
      <c r="I68" s="14"/>
      <c r="J68" s="14"/>
      <c r="K68" s="14"/>
      <c r="L68" s="14"/>
      <c r="M68" s="14"/>
      <c r="N68" s="14"/>
      <c r="O68" s="241"/>
      <c r="P68" s="14"/>
      <c r="Q68" s="14"/>
      <c r="R68" s="14"/>
      <c r="S68" s="14"/>
      <c r="T68" s="14"/>
      <c r="U68" s="14"/>
      <c r="V68" s="14"/>
      <c r="W68" s="243"/>
      <c r="X68" s="243"/>
      <c r="Y68" s="243"/>
      <c r="Z68" s="243"/>
      <c r="AA68" s="243"/>
      <c r="AB68" s="14"/>
      <c r="AC68" s="14"/>
      <c r="AD68" s="14"/>
      <c r="AE68" s="14"/>
      <c r="AF68" s="14"/>
      <c r="AG68" s="14"/>
    </row>
    <row r="69" spans="1:33" s="116" customFormat="1" ht="20.100000000000001" customHeight="1">
      <c r="A69" s="14"/>
      <c r="C69" s="14">
        <v>1258228694</v>
      </c>
      <c r="D69" s="14" t="s">
        <v>203</v>
      </c>
      <c r="E69" s="282" t="s">
        <v>262</v>
      </c>
      <c r="F69" s="14">
        <v>200</v>
      </c>
      <c r="G69" s="14"/>
      <c r="H69" s="14"/>
      <c r="I69" s="14"/>
      <c r="J69" s="14"/>
      <c r="K69" s="14"/>
      <c r="L69" s="14"/>
      <c r="M69" s="14"/>
      <c r="N69" s="14"/>
      <c r="O69" s="241"/>
      <c r="P69" s="14"/>
      <c r="Q69" s="14"/>
      <c r="R69" s="14"/>
      <c r="S69" s="14">
        <v>5</v>
      </c>
      <c r="T69" s="14"/>
      <c r="U69" s="14"/>
      <c r="V69" s="14"/>
      <c r="W69" s="243"/>
      <c r="X69" s="243"/>
      <c r="Y69" s="243"/>
      <c r="Z69" s="243"/>
      <c r="AA69" s="243"/>
      <c r="AB69" s="14"/>
      <c r="AC69" s="14"/>
      <c r="AD69" s="14"/>
      <c r="AE69" s="14"/>
      <c r="AF69" s="14"/>
      <c r="AG69" s="14"/>
    </row>
    <row r="70" spans="1:33" s="116" customFormat="1" ht="20.100000000000001" customHeight="1">
      <c r="A70" s="14"/>
      <c r="C70" s="14">
        <v>1016917438</v>
      </c>
      <c r="D70" s="14" t="s">
        <v>561</v>
      </c>
      <c r="E70" s="282" t="s">
        <v>382</v>
      </c>
      <c r="F70" s="14">
        <v>300</v>
      </c>
      <c r="G70" s="14"/>
      <c r="H70" s="14"/>
      <c r="I70" s="14"/>
      <c r="J70" s="14"/>
      <c r="K70" s="14"/>
      <c r="L70" s="14"/>
      <c r="M70" s="14"/>
      <c r="N70" s="14"/>
      <c r="O70" s="241"/>
      <c r="P70" s="14"/>
      <c r="Q70" s="14"/>
      <c r="R70" s="14"/>
      <c r="S70" s="14">
        <v>7</v>
      </c>
      <c r="T70" s="14"/>
      <c r="U70" s="14"/>
      <c r="V70" s="14"/>
      <c r="W70" s="243"/>
      <c r="X70" s="243"/>
      <c r="Y70" s="243"/>
      <c r="Z70" s="243"/>
      <c r="AA70" s="243"/>
      <c r="AB70" s="14"/>
      <c r="AC70" s="14"/>
      <c r="AD70" s="14"/>
      <c r="AE70" s="14"/>
      <c r="AF70" s="14"/>
      <c r="AG70" s="14"/>
    </row>
    <row r="71" spans="1:33" s="116" customFormat="1" ht="20.100000000000001" customHeight="1">
      <c r="A71" s="14"/>
      <c r="C71" s="14">
        <v>1881917537</v>
      </c>
      <c r="D71" s="14" t="s">
        <v>207</v>
      </c>
      <c r="E71" s="282" t="s">
        <v>264</v>
      </c>
      <c r="F71" s="14"/>
      <c r="G71" s="14"/>
      <c r="H71" s="14"/>
      <c r="I71" s="14"/>
      <c r="J71" s="14"/>
      <c r="K71" s="14"/>
      <c r="L71" s="14"/>
      <c r="M71" s="14"/>
      <c r="N71" s="14"/>
      <c r="O71" s="241"/>
      <c r="P71" s="14"/>
      <c r="Q71" s="14"/>
      <c r="R71" s="14"/>
      <c r="S71" s="14"/>
      <c r="T71" s="14"/>
      <c r="U71" s="14"/>
      <c r="V71" s="14"/>
      <c r="W71" s="243"/>
      <c r="X71" s="243"/>
      <c r="Y71" s="243"/>
      <c r="Z71" s="243"/>
      <c r="AA71" s="243"/>
      <c r="AB71" s="14"/>
      <c r="AC71" s="14"/>
      <c r="AD71" s="14"/>
      <c r="AE71" s="14"/>
      <c r="AF71" s="14"/>
      <c r="AG71" s="14"/>
    </row>
    <row r="72" spans="1:33" s="116" customFormat="1" ht="20.100000000000001" customHeight="1">
      <c r="A72" s="14"/>
      <c r="C72" s="14">
        <v>1886277668</v>
      </c>
      <c r="D72" s="14" t="s">
        <v>562</v>
      </c>
      <c r="E72" s="282" t="s">
        <v>389</v>
      </c>
      <c r="F72" s="14">
        <v>200</v>
      </c>
      <c r="G72" s="14"/>
      <c r="H72" s="14"/>
      <c r="I72" s="14"/>
      <c r="J72" s="14"/>
      <c r="K72" s="14"/>
      <c r="L72" s="14"/>
      <c r="M72" s="14"/>
      <c r="N72" s="14"/>
      <c r="O72" s="241"/>
      <c r="P72" s="14"/>
      <c r="Q72" s="14"/>
      <c r="R72" s="14"/>
      <c r="S72" s="14">
        <v>5</v>
      </c>
      <c r="T72" s="14"/>
      <c r="U72" s="14"/>
      <c r="V72" s="14"/>
      <c r="W72" s="243"/>
      <c r="X72" s="243"/>
      <c r="Y72" s="243"/>
      <c r="Z72" s="243"/>
      <c r="AA72" s="243"/>
      <c r="AB72" s="14"/>
      <c r="AC72" s="14"/>
      <c r="AD72" s="14"/>
      <c r="AE72" s="14"/>
      <c r="AF72" s="14"/>
      <c r="AG72" s="14"/>
    </row>
    <row r="73" spans="1:33" s="116" customFormat="1" ht="20.100000000000001" customHeight="1">
      <c r="A73" s="14"/>
      <c r="C73" s="14">
        <v>1468738927</v>
      </c>
      <c r="D73" s="14" t="s">
        <v>511</v>
      </c>
      <c r="E73" s="282" t="s">
        <v>550</v>
      </c>
      <c r="F73" s="14"/>
      <c r="G73" s="14"/>
      <c r="H73" s="14"/>
      <c r="I73" s="14"/>
      <c r="J73" s="14"/>
      <c r="K73" s="14"/>
      <c r="L73" s="14"/>
      <c r="M73" s="14"/>
      <c r="N73" s="14"/>
      <c r="O73" s="241"/>
      <c r="P73" s="14"/>
      <c r="Q73" s="14"/>
      <c r="R73" s="14"/>
      <c r="S73" s="14"/>
      <c r="T73" s="14"/>
      <c r="U73" s="14"/>
      <c r="V73" s="14"/>
      <c r="W73" s="243"/>
      <c r="X73" s="243"/>
      <c r="Y73" s="243"/>
      <c r="Z73" s="243"/>
      <c r="AA73" s="243"/>
      <c r="AB73" s="14"/>
      <c r="AC73" s="14"/>
      <c r="AD73" s="14"/>
      <c r="AE73" s="14"/>
      <c r="AF73" s="14"/>
      <c r="AG73" s="14"/>
    </row>
    <row r="74" spans="1:33" s="116" customFormat="1" ht="20.100000000000001" customHeight="1">
      <c r="A74" s="14"/>
      <c r="C74" s="14">
        <v>1937818033</v>
      </c>
      <c r="D74" s="14" t="s">
        <v>510</v>
      </c>
      <c r="E74" s="282" t="s">
        <v>551</v>
      </c>
      <c r="F74" s="14"/>
      <c r="G74" s="14"/>
      <c r="H74" s="14"/>
      <c r="I74" s="14"/>
      <c r="J74" s="14"/>
      <c r="K74" s="14"/>
      <c r="L74" s="14"/>
      <c r="M74" s="14"/>
      <c r="N74" s="14"/>
      <c r="O74" s="241"/>
      <c r="P74" s="14"/>
      <c r="Q74" s="14"/>
      <c r="R74" s="14"/>
      <c r="S74" s="14"/>
      <c r="T74" s="14"/>
      <c r="U74" s="14"/>
      <c r="V74" s="14"/>
      <c r="W74" s="243"/>
      <c r="X74" s="243"/>
      <c r="Y74" s="243"/>
      <c r="Z74" s="243"/>
      <c r="AA74" s="243"/>
      <c r="AB74" s="14"/>
      <c r="AC74" s="14"/>
      <c r="AD74" s="14"/>
      <c r="AE74" s="14"/>
      <c r="AF74" s="14"/>
      <c r="AG74" s="14"/>
    </row>
    <row r="75" spans="1:33" s="116" customFormat="1" ht="20.100000000000001" customHeight="1">
      <c r="A75" s="14"/>
      <c r="C75" s="14"/>
      <c r="D75" s="14"/>
      <c r="E75" s="282"/>
      <c r="F75" s="14"/>
      <c r="G75" s="14"/>
      <c r="H75" s="14"/>
      <c r="I75" s="14"/>
      <c r="J75" s="14"/>
      <c r="K75" s="14"/>
      <c r="L75" s="14"/>
      <c r="M75" s="14"/>
      <c r="N75" s="14"/>
      <c r="O75" s="241"/>
      <c r="P75" s="14"/>
      <c r="Q75" s="14"/>
      <c r="R75" s="14"/>
      <c r="S75" s="14"/>
      <c r="T75" s="14"/>
      <c r="U75" s="14"/>
      <c r="V75" s="14"/>
      <c r="W75" s="243"/>
      <c r="X75" s="243"/>
      <c r="Y75" s="243"/>
      <c r="Z75" s="243"/>
      <c r="AA75" s="243"/>
      <c r="AB75" s="14"/>
      <c r="AC75" s="14"/>
      <c r="AD75" s="14"/>
      <c r="AE75" s="14"/>
      <c r="AF75" s="14"/>
      <c r="AG75" s="14"/>
    </row>
    <row r="76" spans="1:33" s="116" customFormat="1" ht="20.100000000000001" customHeight="1">
      <c r="A76" s="14"/>
      <c r="C76" s="14"/>
      <c r="D76" s="14"/>
      <c r="E76" s="282"/>
      <c r="F76" s="14"/>
      <c r="G76" s="14"/>
      <c r="H76" s="14"/>
      <c r="I76" s="14"/>
      <c r="J76" s="14"/>
      <c r="K76" s="14"/>
      <c r="L76" s="14"/>
      <c r="M76" s="14"/>
      <c r="N76" s="14"/>
      <c r="O76" s="241"/>
      <c r="P76" s="14"/>
      <c r="Q76" s="14"/>
      <c r="R76" s="14"/>
      <c r="S76" s="14"/>
      <c r="T76" s="14"/>
      <c r="U76" s="14"/>
      <c r="V76" s="14"/>
      <c r="W76" s="243"/>
      <c r="X76" s="243"/>
      <c r="Y76" s="243"/>
      <c r="Z76" s="243"/>
      <c r="AA76" s="243"/>
      <c r="AB76" s="14"/>
      <c r="AC76" s="14"/>
      <c r="AD76" s="14"/>
      <c r="AE76" s="14"/>
      <c r="AF76" s="14"/>
      <c r="AG76" s="14"/>
    </row>
    <row r="77" spans="1:33" s="116" customFormat="1" ht="20.100000000000001" customHeight="1">
      <c r="A77" s="14"/>
      <c r="C77" s="14">
        <v>1726182684</v>
      </c>
      <c r="D77" s="14" t="s">
        <v>539</v>
      </c>
      <c r="E77" s="282" t="s">
        <v>546</v>
      </c>
      <c r="F77" s="14"/>
      <c r="G77" s="14"/>
      <c r="H77" s="14"/>
      <c r="I77" s="14"/>
      <c r="J77" s="14"/>
      <c r="K77" s="14"/>
      <c r="L77" s="14"/>
      <c r="M77" s="14"/>
      <c r="N77" s="14"/>
      <c r="O77" s="241"/>
      <c r="P77" s="14"/>
      <c r="Q77" s="14"/>
      <c r="R77" s="14"/>
      <c r="S77" s="14"/>
      <c r="T77" s="14"/>
      <c r="U77" s="14"/>
      <c r="V77" s="14"/>
      <c r="W77" s="243"/>
      <c r="X77" s="243"/>
      <c r="Y77" s="243"/>
      <c r="Z77" s="243"/>
      <c r="AA77" s="243"/>
      <c r="AB77" s="14"/>
      <c r="AC77" s="14"/>
      <c r="AD77" s="14"/>
      <c r="AE77" s="14"/>
      <c r="AF77" s="14"/>
      <c r="AG77" s="14"/>
    </row>
    <row r="78" spans="1:33" s="116" customFormat="1" ht="20.100000000000001" customHeight="1">
      <c r="A78" s="14"/>
      <c r="C78" s="14">
        <v>1248197916</v>
      </c>
      <c r="D78" s="14" t="s">
        <v>540</v>
      </c>
      <c r="E78" s="282" t="s">
        <v>537</v>
      </c>
      <c r="F78" s="14"/>
      <c r="G78" s="14"/>
      <c r="H78" s="14"/>
      <c r="I78" s="14"/>
      <c r="J78" s="14"/>
      <c r="K78" s="14"/>
      <c r="L78" s="14"/>
      <c r="M78" s="14"/>
      <c r="N78" s="14"/>
      <c r="O78" s="241"/>
      <c r="P78" s="14"/>
      <c r="Q78" s="14"/>
      <c r="R78" s="14"/>
      <c r="S78" s="14"/>
      <c r="T78" s="14"/>
      <c r="U78" s="14"/>
      <c r="V78" s="14"/>
      <c r="W78" s="243"/>
      <c r="X78" s="243"/>
      <c r="Y78" s="243"/>
      <c r="Z78" s="243"/>
      <c r="AA78" s="243"/>
      <c r="AB78" s="14"/>
      <c r="AC78" s="14"/>
      <c r="AD78" s="14"/>
      <c r="AE78" s="14"/>
      <c r="AF78" s="14"/>
      <c r="AG78" s="14"/>
    </row>
    <row r="79" spans="1:33" s="116" customFormat="1" ht="20.100000000000001" customHeight="1">
      <c r="A79" s="14"/>
      <c r="C79" s="14">
        <v>1731817909</v>
      </c>
      <c r="D79" s="14" t="s">
        <v>541</v>
      </c>
      <c r="E79" s="282" t="s">
        <v>533</v>
      </c>
      <c r="F79" s="14"/>
      <c r="G79" s="14"/>
      <c r="H79" s="14"/>
      <c r="I79" s="14"/>
      <c r="J79" s="14"/>
      <c r="K79" s="14"/>
      <c r="L79" s="14"/>
      <c r="M79" s="14"/>
      <c r="N79" s="14"/>
      <c r="O79" s="241"/>
      <c r="P79" s="14"/>
      <c r="Q79" s="14"/>
      <c r="R79" s="14"/>
      <c r="S79" s="14"/>
      <c r="T79" s="14"/>
      <c r="U79" s="14"/>
      <c r="V79" s="14"/>
      <c r="W79" s="243"/>
      <c r="X79" s="243"/>
      <c r="Y79" s="243"/>
      <c r="Z79" s="243"/>
      <c r="AA79" s="243"/>
      <c r="AB79" s="14"/>
      <c r="AC79" s="14"/>
      <c r="AD79" s="14"/>
      <c r="AE79" s="14"/>
      <c r="AF79" s="14"/>
      <c r="AG79" s="14"/>
    </row>
    <row r="80" spans="1:33" s="116" customFormat="1" ht="20.100000000000001" customHeight="1">
      <c r="A80" s="14"/>
      <c r="C80" s="14">
        <v>34283740</v>
      </c>
      <c r="D80" s="14" t="s">
        <v>542</v>
      </c>
      <c r="E80" s="282" t="s">
        <v>534</v>
      </c>
      <c r="F80" s="14"/>
      <c r="G80" s="14"/>
      <c r="H80" s="14"/>
      <c r="I80" s="14"/>
      <c r="J80" s="14"/>
      <c r="K80" s="14"/>
      <c r="L80" s="14"/>
      <c r="M80" s="14"/>
      <c r="N80" s="14"/>
      <c r="O80" s="241"/>
      <c r="P80" s="14"/>
      <c r="Q80" s="14"/>
      <c r="R80" s="14"/>
      <c r="S80" s="14"/>
      <c r="T80" s="14"/>
      <c r="U80" s="14"/>
      <c r="V80" s="14"/>
      <c r="W80" s="243"/>
      <c r="X80" s="243"/>
      <c r="Y80" s="243"/>
      <c r="Z80" s="243"/>
      <c r="AA80" s="243"/>
      <c r="AB80" s="14"/>
      <c r="AC80" s="14"/>
      <c r="AD80" s="14"/>
      <c r="AE80" s="14"/>
      <c r="AF80" s="14"/>
      <c r="AG80" s="14"/>
    </row>
    <row r="81" spans="1:33" s="116" customFormat="1" ht="20.100000000000001" customHeight="1">
      <c r="A81" s="14"/>
      <c r="C81" s="14">
        <v>37542360</v>
      </c>
      <c r="D81" s="14" t="s">
        <v>543</v>
      </c>
      <c r="E81" s="282" t="s">
        <v>538</v>
      </c>
      <c r="F81" s="247"/>
      <c r="G81" s="14"/>
      <c r="H81" s="14"/>
      <c r="I81" s="14"/>
      <c r="J81" s="14"/>
      <c r="K81" s="14"/>
      <c r="L81" s="14"/>
      <c r="M81" s="14"/>
      <c r="N81" s="14"/>
      <c r="O81" s="241"/>
      <c r="P81" s="14"/>
      <c r="Q81" s="14"/>
      <c r="R81" s="14"/>
      <c r="S81" s="14"/>
      <c r="T81" s="14"/>
      <c r="U81" s="14"/>
      <c r="V81" s="14"/>
      <c r="W81" s="243"/>
      <c r="X81" s="243"/>
      <c r="Y81" s="243"/>
      <c r="Z81" s="243"/>
      <c r="AA81" s="243"/>
      <c r="AB81" s="14"/>
      <c r="AC81" s="14"/>
      <c r="AD81" s="14"/>
      <c r="AE81" s="14"/>
      <c r="AF81" s="14"/>
      <c r="AG81" s="14"/>
    </row>
    <row r="82" spans="1:33" s="116" customFormat="1" ht="20.100000000000001" customHeight="1">
      <c r="A82" s="14"/>
      <c r="C82" s="14">
        <v>1004387540</v>
      </c>
      <c r="D82" s="14" t="s">
        <v>544</v>
      </c>
      <c r="E82" s="282" t="s">
        <v>553</v>
      </c>
      <c r="F82" s="14"/>
      <c r="G82" s="14"/>
      <c r="H82" s="14"/>
      <c r="I82" s="14"/>
      <c r="J82" s="14"/>
      <c r="K82" s="14"/>
      <c r="L82" s="14"/>
      <c r="M82" s="14"/>
      <c r="N82" s="14"/>
      <c r="O82" s="241"/>
      <c r="P82" s="14"/>
      <c r="Q82" s="14"/>
      <c r="R82" s="14"/>
      <c r="S82" s="14"/>
      <c r="T82" s="14"/>
      <c r="U82" s="14"/>
      <c r="V82" s="14"/>
      <c r="W82" s="243"/>
      <c r="X82" s="243"/>
      <c r="Y82" s="243"/>
      <c r="Z82" s="243"/>
      <c r="AA82" s="243"/>
      <c r="AB82" s="14"/>
      <c r="AC82" s="14"/>
      <c r="AD82" s="14"/>
      <c r="AE82" s="14"/>
      <c r="AF82" s="14"/>
      <c r="AG82" s="14"/>
    </row>
    <row r="83" spans="1:33" s="116" customFormat="1" ht="20.100000000000001" customHeight="1">
      <c r="A83" s="14"/>
      <c r="C83" s="14">
        <v>1628980692</v>
      </c>
      <c r="D83" s="14" t="s">
        <v>545</v>
      </c>
      <c r="E83" s="282" t="s">
        <v>535</v>
      </c>
      <c r="F83" s="247"/>
      <c r="G83" s="14"/>
      <c r="H83" s="14"/>
      <c r="I83" s="14"/>
      <c r="J83" s="14"/>
      <c r="K83" s="14"/>
      <c r="L83" s="14"/>
      <c r="M83" s="14"/>
      <c r="N83" s="14"/>
      <c r="O83" s="241"/>
      <c r="P83" s="14"/>
      <c r="Q83" s="14"/>
      <c r="R83" s="14"/>
      <c r="S83" s="14"/>
      <c r="T83" s="14"/>
      <c r="U83" s="14"/>
      <c r="V83" s="14"/>
      <c r="W83" s="243"/>
      <c r="X83" s="243"/>
      <c r="Y83" s="243"/>
      <c r="Z83" s="243"/>
      <c r="AA83" s="243"/>
      <c r="AB83" s="14"/>
      <c r="AC83" s="14"/>
      <c r="AD83" s="14"/>
      <c r="AE83" s="14"/>
      <c r="AF83" s="14"/>
      <c r="AG83" s="14"/>
    </row>
    <row r="84" spans="1:33" s="116" customFormat="1" ht="20.100000000000001" customHeight="1">
      <c r="A84" s="14"/>
      <c r="C84" s="14">
        <v>2022817604</v>
      </c>
      <c r="D84" s="14" t="s">
        <v>563</v>
      </c>
      <c r="E84" s="282" t="s">
        <v>536</v>
      </c>
      <c r="F84" s="247"/>
      <c r="G84" s="14"/>
      <c r="H84" s="14"/>
      <c r="I84" s="14"/>
      <c r="J84" s="14"/>
      <c r="K84" s="14"/>
      <c r="L84" s="14"/>
      <c r="M84" s="14"/>
      <c r="N84" s="14"/>
      <c r="O84" s="241"/>
      <c r="P84" s="14"/>
      <c r="Q84" s="14"/>
      <c r="R84" s="14"/>
      <c r="S84" s="14"/>
      <c r="T84" s="14"/>
      <c r="U84" s="14"/>
      <c r="V84" s="14"/>
      <c r="W84" s="243"/>
      <c r="X84" s="243"/>
      <c r="Y84" s="243"/>
      <c r="Z84" s="243"/>
      <c r="AA84" s="243"/>
      <c r="AB84" s="14"/>
      <c r="AC84" s="14"/>
      <c r="AD84" s="14"/>
      <c r="AE84" s="14"/>
      <c r="AF84" s="14"/>
      <c r="AG84" s="14"/>
    </row>
    <row r="85" spans="1:33" s="116" customFormat="1" ht="20.100000000000001" customHeight="1">
      <c r="A85" s="14"/>
      <c r="C85" s="14">
        <v>1108685948</v>
      </c>
      <c r="D85" s="14" t="s">
        <v>323</v>
      </c>
      <c r="E85" s="282" t="s">
        <v>416</v>
      </c>
      <c r="F85" s="14">
        <v>200</v>
      </c>
      <c r="G85" s="14"/>
      <c r="H85" s="14"/>
      <c r="I85" s="14"/>
      <c r="J85" s="14"/>
      <c r="K85" s="14"/>
      <c r="L85" s="14"/>
      <c r="M85" s="14"/>
      <c r="N85" s="14"/>
      <c r="O85" s="241"/>
      <c r="P85" s="14"/>
      <c r="Q85" s="14"/>
      <c r="R85" s="14"/>
      <c r="S85" s="14"/>
      <c r="T85" s="14"/>
      <c r="U85" s="14">
        <v>5</v>
      </c>
      <c r="V85" s="14"/>
      <c r="W85" s="243"/>
      <c r="X85" s="243"/>
      <c r="Y85" s="243"/>
      <c r="Z85" s="243"/>
      <c r="AA85" s="243"/>
      <c r="AB85" s="14"/>
      <c r="AC85" s="14"/>
      <c r="AD85" s="14"/>
      <c r="AE85" s="14"/>
      <c r="AF85" s="14"/>
      <c r="AG85" s="14"/>
    </row>
    <row r="86" spans="1:33" s="116" customFormat="1" ht="20.100000000000001" customHeight="1">
      <c r="A86" s="14"/>
      <c r="C86" s="14"/>
      <c r="D86" s="14"/>
      <c r="E86" s="282"/>
      <c r="F86" s="14"/>
      <c r="G86" s="14"/>
      <c r="H86" s="14"/>
      <c r="I86" s="14"/>
      <c r="J86" s="14"/>
      <c r="K86" s="14"/>
      <c r="L86" s="14"/>
      <c r="M86" s="14"/>
      <c r="N86" s="14"/>
      <c r="O86" s="241"/>
      <c r="P86" s="14"/>
      <c r="Q86" s="14"/>
      <c r="R86" s="14"/>
      <c r="S86" s="14"/>
      <c r="T86" s="14"/>
      <c r="U86" s="14"/>
      <c r="V86" s="14"/>
      <c r="W86" s="243"/>
      <c r="X86" s="243"/>
      <c r="Y86" s="243"/>
      <c r="Z86" s="243"/>
      <c r="AA86" s="243"/>
      <c r="AB86" s="14"/>
      <c r="AC86" s="14"/>
      <c r="AD86" s="14"/>
      <c r="AE86" s="14"/>
      <c r="AF86" s="14"/>
      <c r="AG86" s="14"/>
    </row>
    <row r="87" spans="1:33" s="116" customFormat="1" ht="20.100000000000001" customHeight="1">
      <c r="A87" s="14"/>
      <c r="C87" s="14"/>
      <c r="D87" s="14" t="s">
        <v>569</v>
      </c>
      <c r="E87" s="282"/>
      <c r="F87" s="14"/>
      <c r="G87" s="14"/>
      <c r="H87" s="14"/>
      <c r="I87" s="14"/>
      <c r="J87" s="14"/>
      <c r="K87" s="14"/>
      <c r="L87" s="14"/>
      <c r="M87" s="14"/>
      <c r="N87" s="14"/>
      <c r="O87" s="241"/>
      <c r="P87" s="14"/>
      <c r="Q87" s="14"/>
      <c r="R87" s="14"/>
      <c r="S87" s="14"/>
      <c r="T87" s="14"/>
      <c r="U87" s="14"/>
      <c r="V87" s="14"/>
      <c r="W87" s="243"/>
      <c r="X87" s="243"/>
      <c r="Y87" s="243"/>
      <c r="Z87" s="243"/>
      <c r="AA87" s="243"/>
      <c r="AB87" s="14"/>
      <c r="AC87" s="14"/>
      <c r="AD87" s="14"/>
      <c r="AE87" s="14"/>
      <c r="AF87" s="14"/>
      <c r="AG87" s="14"/>
    </row>
    <row r="88" spans="1:33" s="116" customFormat="1" ht="20.100000000000001" customHeight="1">
      <c r="A88" s="14"/>
      <c r="C88" s="14"/>
      <c r="D88" s="14"/>
      <c r="E88" s="282"/>
      <c r="F88" s="14"/>
      <c r="G88" s="14"/>
      <c r="H88" s="14"/>
      <c r="I88" s="14"/>
      <c r="J88" s="14"/>
      <c r="K88" s="14"/>
      <c r="L88" s="14"/>
      <c r="M88" s="14"/>
      <c r="N88" s="14"/>
      <c r="O88" s="241"/>
      <c r="P88" s="14"/>
      <c r="Q88" s="14"/>
      <c r="R88" s="14"/>
      <c r="S88" s="14"/>
      <c r="T88" s="14"/>
      <c r="U88" s="14"/>
      <c r="V88" s="14"/>
      <c r="W88" s="243"/>
      <c r="X88" s="243"/>
      <c r="Y88" s="243"/>
      <c r="Z88" s="243"/>
      <c r="AA88" s="243"/>
      <c r="AB88" s="14"/>
      <c r="AC88" s="14"/>
      <c r="AD88" s="14"/>
      <c r="AE88" s="14"/>
      <c r="AF88" s="14"/>
      <c r="AG88" s="14"/>
    </row>
    <row r="89" spans="1:33" s="116" customFormat="1" ht="20.100000000000001" customHeight="1">
      <c r="A89" s="14"/>
      <c r="C89" s="14"/>
      <c r="D89" s="14" t="s">
        <v>47</v>
      </c>
      <c r="E89" s="282"/>
      <c r="F89" s="14"/>
      <c r="G89" s="14"/>
      <c r="H89" s="14"/>
      <c r="I89" s="14"/>
      <c r="J89" s="14"/>
      <c r="K89" s="14"/>
      <c r="L89" s="14"/>
      <c r="M89" s="14"/>
      <c r="N89" s="14"/>
      <c r="O89" s="241"/>
      <c r="P89" s="14"/>
      <c r="Q89" s="14"/>
      <c r="R89" s="14"/>
      <c r="S89" s="14"/>
      <c r="T89" s="14"/>
      <c r="U89" s="14"/>
      <c r="V89" s="14"/>
      <c r="W89" s="243"/>
      <c r="X89" s="243"/>
      <c r="Y89" s="243"/>
      <c r="Z89" s="243"/>
      <c r="AA89" s="243"/>
      <c r="AB89" s="14"/>
      <c r="AC89" s="14"/>
      <c r="AD89" s="14"/>
      <c r="AE89" s="14"/>
      <c r="AF89" s="14"/>
      <c r="AG89" s="14"/>
    </row>
    <row r="90" spans="1:33" s="116" customFormat="1" ht="20.100000000000001" customHeight="1">
      <c r="A90" s="14"/>
      <c r="C90" s="14"/>
      <c r="D90" s="14" t="s">
        <v>41</v>
      </c>
      <c r="E90" s="282"/>
      <c r="F90" s="14"/>
      <c r="G90" s="14"/>
      <c r="H90" s="14"/>
      <c r="I90" s="14"/>
      <c r="J90" s="14"/>
      <c r="K90" s="14"/>
      <c r="L90" s="14"/>
      <c r="M90" s="14"/>
      <c r="N90" s="14"/>
      <c r="O90" s="241"/>
      <c r="P90" s="14"/>
      <c r="Q90" s="14"/>
      <c r="R90" s="14"/>
      <c r="S90" s="14"/>
      <c r="T90" s="14"/>
      <c r="U90" s="14"/>
      <c r="V90" s="14"/>
      <c r="W90" s="243"/>
      <c r="X90" s="243"/>
      <c r="Y90" s="243"/>
      <c r="Z90" s="243"/>
      <c r="AA90" s="243"/>
      <c r="AB90" s="14"/>
      <c r="AC90" s="14"/>
      <c r="AD90" s="14"/>
      <c r="AE90" s="14"/>
      <c r="AF90" s="14"/>
      <c r="AG90" s="14"/>
    </row>
    <row r="91" spans="1:33" s="116" customFormat="1" ht="20.100000000000001" customHeight="1">
      <c r="A91" s="14"/>
      <c r="C91" s="14"/>
      <c r="D91" s="14" t="s">
        <v>325</v>
      </c>
      <c r="E91" s="282"/>
      <c r="F91" s="14"/>
      <c r="G91" s="14"/>
      <c r="H91" s="14"/>
      <c r="I91" s="14"/>
      <c r="J91" s="14"/>
      <c r="K91" s="14"/>
      <c r="L91" s="14"/>
      <c r="M91" s="14"/>
      <c r="N91" s="14"/>
      <c r="O91" s="241"/>
      <c r="P91" s="14"/>
      <c r="Q91" s="14"/>
      <c r="R91" s="14"/>
      <c r="S91" s="14"/>
      <c r="T91" s="14"/>
      <c r="U91" s="14"/>
      <c r="V91" s="14"/>
      <c r="W91" s="243"/>
      <c r="X91" s="243"/>
      <c r="Y91" s="243"/>
      <c r="Z91" s="243"/>
      <c r="AA91" s="243"/>
      <c r="AB91" s="14"/>
      <c r="AC91" s="14"/>
      <c r="AD91" s="14"/>
      <c r="AE91" s="14"/>
      <c r="AF91" s="14"/>
      <c r="AG91" s="14"/>
    </row>
    <row r="92" spans="1:33" s="116" customFormat="1" ht="20.100000000000001" customHeight="1">
      <c r="A92" s="14"/>
      <c r="C92" s="14"/>
      <c r="D92" s="14" t="s">
        <v>153</v>
      </c>
      <c r="E92" s="282"/>
      <c r="F92" s="14"/>
      <c r="G92" s="14"/>
      <c r="H92" s="14"/>
      <c r="I92" s="14"/>
      <c r="J92" s="14"/>
      <c r="K92" s="14"/>
      <c r="L92" s="14"/>
      <c r="M92" s="14"/>
      <c r="N92" s="14"/>
      <c r="O92" s="241"/>
      <c r="P92" s="14"/>
      <c r="Q92" s="14"/>
      <c r="R92" s="14"/>
      <c r="S92" s="14"/>
      <c r="T92" s="14"/>
      <c r="U92" s="14"/>
      <c r="V92" s="14"/>
      <c r="W92" s="243"/>
      <c r="X92" s="243"/>
      <c r="Y92" s="243"/>
      <c r="Z92" s="243"/>
      <c r="AA92" s="243"/>
      <c r="AB92" s="14"/>
      <c r="AC92" s="14"/>
      <c r="AD92" s="14"/>
      <c r="AE92" s="14"/>
      <c r="AF92" s="14"/>
      <c r="AG92" s="14"/>
    </row>
    <row r="93" spans="1:33" s="116" customFormat="1" ht="20.100000000000001" customHeight="1">
      <c r="A93" s="14"/>
      <c r="C93" s="14"/>
      <c r="D93" s="14" t="s">
        <v>171</v>
      </c>
      <c r="E93" s="282"/>
      <c r="F93" s="14"/>
      <c r="G93" s="14"/>
      <c r="H93" s="14"/>
      <c r="I93" s="14"/>
      <c r="J93" s="14"/>
      <c r="K93" s="14"/>
      <c r="L93" s="14"/>
      <c r="M93" s="14"/>
      <c r="N93" s="14"/>
      <c r="O93" s="241"/>
      <c r="P93" s="14"/>
      <c r="Q93" s="14"/>
      <c r="R93" s="14"/>
      <c r="S93" s="14"/>
      <c r="T93" s="14"/>
      <c r="U93" s="14"/>
      <c r="V93" s="14"/>
      <c r="W93" s="243"/>
      <c r="X93" s="243"/>
      <c r="Y93" s="243"/>
      <c r="Z93" s="243"/>
      <c r="AA93" s="243"/>
      <c r="AB93" s="14"/>
      <c r="AC93" s="14"/>
      <c r="AD93" s="14"/>
      <c r="AE93" s="14"/>
      <c r="AF93" s="14"/>
      <c r="AG93" s="14"/>
    </row>
    <row r="94" spans="1:33" s="116" customFormat="1" ht="20.100000000000001" customHeight="1">
      <c r="A94" s="14"/>
      <c r="C94" s="14"/>
      <c r="D94" s="14" t="s">
        <v>138</v>
      </c>
      <c r="E94" s="282"/>
      <c r="F94" s="14"/>
      <c r="G94" s="14"/>
      <c r="H94" s="14"/>
      <c r="I94" s="14"/>
      <c r="J94" s="14"/>
      <c r="K94" s="14"/>
      <c r="L94" s="14"/>
      <c r="M94" s="14"/>
      <c r="N94" s="14"/>
      <c r="O94" s="241"/>
      <c r="P94" s="14"/>
      <c r="Q94" s="14"/>
      <c r="R94" s="14"/>
      <c r="S94" s="14"/>
      <c r="T94" s="14"/>
      <c r="U94" s="14"/>
      <c r="V94" s="14"/>
      <c r="W94" s="243"/>
      <c r="X94" s="243"/>
      <c r="Y94" s="243"/>
      <c r="Z94" s="243"/>
      <c r="AA94" s="243"/>
      <c r="AB94" s="14"/>
      <c r="AC94" s="14"/>
      <c r="AD94" s="14"/>
      <c r="AE94" s="14"/>
      <c r="AF94" s="14"/>
      <c r="AG94" s="14"/>
    </row>
    <row r="95" spans="1:33" s="116" customFormat="1" ht="20.100000000000001" customHeight="1">
      <c r="A95" s="14"/>
      <c r="C95" s="14"/>
      <c r="D95" s="14" t="s">
        <v>73</v>
      </c>
      <c r="E95" s="282"/>
      <c r="F95" s="14"/>
      <c r="G95" s="14"/>
      <c r="H95" s="14"/>
      <c r="I95" s="14"/>
      <c r="J95" s="14"/>
      <c r="K95" s="14"/>
      <c r="L95" s="14"/>
      <c r="M95" s="14"/>
      <c r="N95" s="14"/>
      <c r="O95" s="241"/>
      <c r="P95" s="14"/>
      <c r="Q95" s="14"/>
      <c r="R95" s="14"/>
      <c r="S95" s="14"/>
      <c r="T95" s="14"/>
      <c r="U95" s="14"/>
      <c r="V95" s="14"/>
      <c r="W95" s="243"/>
      <c r="X95" s="243"/>
      <c r="Y95" s="243"/>
      <c r="Z95" s="243"/>
      <c r="AA95" s="243"/>
      <c r="AB95" s="14"/>
      <c r="AC95" s="14"/>
      <c r="AD95" s="14"/>
      <c r="AE95" s="14"/>
      <c r="AF95" s="14"/>
      <c r="AG95" s="14"/>
    </row>
    <row r="96" spans="1:33" s="116" customFormat="1" ht="20.100000000000001" customHeight="1">
      <c r="A96" s="14"/>
      <c r="C96" s="14">
        <v>1294147426</v>
      </c>
      <c r="D96" s="14" t="s">
        <v>21</v>
      </c>
      <c r="E96" s="282"/>
      <c r="F96" s="14"/>
      <c r="G96" s="14"/>
      <c r="H96" s="14"/>
      <c r="I96" s="14"/>
      <c r="J96" s="14"/>
      <c r="K96" s="14"/>
      <c r="L96" s="14"/>
      <c r="M96" s="14"/>
      <c r="N96" s="14"/>
      <c r="O96" s="241"/>
      <c r="P96" s="14"/>
      <c r="Q96" s="14"/>
      <c r="R96" s="14"/>
      <c r="S96" s="14"/>
      <c r="T96" s="14"/>
      <c r="U96" s="14"/>
      <c r="V96" s="14"/>
      <c r="W96" s="243"/>
      <c r="X96" s="243"/>
      <c r="Y96" s="243"/>
      <c r="Z96" s="243"/>
      <c r="AA96" s="243"/>
      <c r="AB96" s="14"/>
      <c r="AC96" s="14"/>
      <c r="AD96" s="14"/>
      <c r="AE96" s="14"/>
      <c r="AF96" s="14"/>
      <c r="AG96" s="14"/>
    </row>
    <row r="97" spans="1:33" s="116" customFormat="1" ht="20.100000000000001" customHeight="1">
      <c r="A97" s="14"/>
      <c r="C97" s="14"/>
      <c r="D97" s="14" t="s">
        <v>362</v>
      </c>
      <c r="E97" s="282"/>
      <c r="F97" s="14"/>
      <c r="G97" s="14"/>
      <c r="H97" s="14"/>
      <c r="I97" s="14"/>
      <c r="J97" s="14"/>
      <c r="K97" s="14"/>
      <c r="L97" s="14"/>
      <c r="M97" s="14"/>
      <c r="N97" s="14"/>
      <c r="O97" s="241"/>
      <c r="P97" s="14"/>
      <c r="Q97" s="14"/>
      <c r="R97" s="14"/>
      <c r="S97" s="14"/>
      <c r="T97" s="14"/>
      <c r="U97" s="14"/>
      <c r="V97" s="14"/>
      <c r="W97" s="243"/>
      <c r="X97" s="243"/>
      <c r="Y97" s="243"/>
      <c r="Z97" s="243"/>
      <c r="AA97" s="243"/>
      <c r="AB97" s="14"/>
      <c r="AC97" s="14"/>
      <c r="AD97" s="14"/>
      <c r="AE97" s="14"/>
      <c r="AF97" s="14"/>
      <c r="AG97" s="14"/>
    </row>
    <row r="98" spans="1:33" s="116" customFormat="1" ht="20.100000000000001" customHeight="1">
      <c r="A98" s="14"/>
      <c r="C98" s="14"/>
      <c r="D98" s="14" t="s">
        <v>364</v>
      </c>
      <c r="E98" s="282"/>
      <c r="F98" s="14"/>
      <c r="G98" s="14"/>
      <c r="H98" s="14"/>
      <c r="I98" s="14"/>
      <c r="J98" s="14"/>
      <c r="K98" s="14"/>
      <c r="L98" s="14"/>
      <c r="M98" s="14"/>
      <c r="N98" s="14"/>
      <c r="O98" s="241"/>
      <c r="P98" s="14"/>
      <c r="Q98" s="14"/>
      <c r="R98" s="14"/>
      <c r="S98" s="14"/>
      <c r="T98" s="14"/>
      <c r="U98" s="14"/>
      <c r="V98" s="14"/>
      <c r="W98" s="243"/>
      <c r="X98" s="243"/>
      <c r="Y98" s="243"/>
      <c r="Z98" s="243"/>
      <c r="AA98" s="243"/>
      <c r="AB98" s="14"/>
      <c r="AC98" s="14"/>
      <c r="AD98" s="14"/>
      <c r="AE98" s="14"/>
      <c r="AF98" s="14"/>
      <c r="AG98" s="14"/>
    </row>
    <row r="99" spans="1:33" s="116" customFormat="1" ht="20.100000000000001" customHeight="1">
      <c r="A99" s="14"/>
      <c r="C99" s="14"/>
      <c r="D99" s="14" t="s">
        <v>367</v>
      </c>
      <c r="E99" s="282"/>
      <c r="F99" s="14"/>
      <c r="G99" s="14"/>
      <c r="H99" s="14"/>
      <c r="I99" s="14"/>
      <c r="J99" s="14"/>
      <c r="K99" s="14"/>
      <c r="L99" s="14"/>
      <c r="M99" s="14"/>
      <c r="N99" s="14"/>
      <c r="O99" s="241"/>
      <c r="P99" s="14"/>
      <c r="Q99" s="14"/>
      <c r="R99" s="14"/>
      <c r="S99" s="14"/>
      <c r="T99" s="14"/>
      <c r="U99" s="14"/>
      <c r="V99" s="14"/>
      <c r="W99" s="243"/>
      <c r="X99" s="243"/>
      <c r="Y99" s="243"/>
      <c r="Z99" s="243"/>
      <c r="AA99" s="243"/>
      <c r="AB99" s="14"/>
      <c r="AC99" s="14"/>
      <c r="AD99" s="14"/>
      <c r="AE99" s="14"/>
      <c r="AF99" s="14"/>
      <c r="AG99" s="14"/>
    </row>
    <row r="100" spans="1:33" s="116" customFormat="1" ht="20.100000000000001" customHeight="1">
      <c r="A100" s="14"/>
      <c r="C100" s="14"/>
      <c r="D100" s="14" t="s">
        <v>55</v>
      </c>
      <c r="E100" s="282"/>
      <c r="F100" s="14"/>
      <c r="G100" s="14"/>
      <c r="H100" s="14"/>
      <c r="I100" s="14"/>
      <c r="J100" s="14"/>
      <c r="K100" s="14"/>
      <c r="L100" s="14"/>
      <c r="M100" s="14"/>
      <c r="N100" s="14"/>
      <c r="O100" s="241"/>
      <c r="P100" s="14"/>
      <c r="Q100" s="14"/>
      <c r="R100" s="14"/>
      <c r="S100" s="14"/>
      <c r="T100" s="14"/>
      <c r="U100" s="14"/>
      <c r="V100" s="14"/>
      <c r="W100" s="243"/>
      <c r="X100" s="243"/>
      <c r="Y100" s="243"/>
      <c r="Z100" s="243"/>
      <c r="AA100" s="243"/>
      <c r="AB100" s="14"/>
      <c r="AC100" s="14"/>
      <c r="AD100" s="14"/>
      <c r="AE100" s="14"/>
      <c r="AF100" s="14"/>
      <c r="AG100" s="14"/>
    </row>
    <row r="101" spans="1:33" s="116" customFormat="1" ht="20.100000000000001" customHeight="1">
      <c r="A101" s="14"/>
      <c r="C101" s="14">
        <v>465407558</v>
      </c>
      <c r="D101" s="14" t="s">
        <v>518</v>
      </c>
      <c r="E101" s="282"/>
      <c r="F101" s="14"/>
      <c r="G101" s="14"/>
      <c r="H101" s="14"/>
      <c r="I101" s="14"/>
      <c r="J101" s="14"/>
      <c r="K101" s="14"/>
      <c r="L101" s="14"/>
      <c r="M101" s="14"/>
      <c r="N101" s="14"/>
      <c r="O101" s="241"/>
      <c r="P101" s="14"/>
      <c r="Q101" s="14"/>
      <c r="R101" s="14"/>
      <c r="S101" s="14"/>
      <c r="T101" s="14"/>
      <c r="U101" s="14"/>
      <c r="V101" s="14"/>
      <c r="W101" s="243"/>
      <c r="X101" s="243"/>
      <c r="Y101" s="243"/>
      <c r="Z101" s="243"/>
      <c r="AA101" s="243"/>
      <c r="AB101" s="14"/>
      <c r="AC101" s="14"/>
      <c r="AD101" s="14"/>
      <c r="AE101" s="14"/>
      <c r="AF101" s="14"/>
      <c r="AG101" s="14"/>
    </row>
    <row r="102" spans="1:33" s="116" customFormat="1" ht="20.100000000000001" customHeight="1">
      <c r="A102" s="14"/>
      <c r="C102" s="14">
        <v>37775617</v>
      </c>
      <c r="D102" s="14" t="s">
        <v>360</v>
      </c>
      <c r="E102" s="282" t="str">
        <f>"https://m.place.naver.com/place/" &amp;C102 &amp; "/home"</f>
        <v>https://m.place.naver.com/place/37775617/home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241"/>
      <c r="P102" s="14"/>
      <c r="Q102" s="14"/>
      <c r="R102" s="14"/>
      <c r="S102" s="14"/>
      <c r="T102" s="14"/>
      <c r="U102" s="14"/>
      <c r="V102" s="14"/>
      <c r="W102" s="243"/>
      <c r="X102" s="243"/>
      <c r="Y102" s="243"/>
      <c r="Z102" s="243"/>
      <c r="AA102" s="243"/>
      <c r="AB102" s="14"/>
      <c r="AC102" s="14"/>
      <c r="AD102" s="14"/>
      <c r="AE102" s="14"/>
      <c r="AF102" s="14"/>
      <c r="AG102" s="14"/>
    </row>
    <row r="103" spans="1:33" s="116" customFormat="1" ht="20.100000000000001" customHeight="1">
      <c r="A103" s="14"/>
      <c r="C103" s="14">
        <v>2021830539</v>
      </c>
      <c r="D103" s="14" t="s">
        <v>349</v>
      </c>
      <c r="E103" s="282" t="s">
        <v>397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241"/>
      <c r="P103" s="14"/>
      <c r="Q103" s="14"/>
      <c r="R103" s="14"/>
      <c r="S103" s="14"/>
      <c r="T103" s="14"/>
      <c r="U103" s="14"/>
      <c r="V103" s="14"/>
      <c r="W103" s="243"/>
      <c r="X103" s="243"/>
      <c r="Y103" s="243"/>
      <c r="Z103" s="243"/>
      <c r="AA103" s="243"/>
      <c r="AB103" s="14"/>
      <c r="AC103" s="14"/>
      <c r="AD103" s="14"/>
      <c r="AE103" s="14"/>
      <c r="AF103" s="14"/>
      <c r="AG103" s="14"/>
    </row>
    <row r="104" spans="1:33" s="116" customFormat="1" ht="20.100000000000001" customHeight="1">
      <c r="A104" s="14"/>
      <c r="C104" s="14">
        <v>1642603227</v>
      </c>
      <c r="D104" s="14" t="s">
        <v>211</v>
      </c>
      <c r="E104" s="282" t="s">
        <v>395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241"/>
      <c r="P104" s="14"/>
      <c r="Q104" s="14"/>
      <c r="R104" s="14"/>
      <c r="S104" s="14"/>
      <c r="T104" s="14"/>
      <c r="U104" s="14"/>
      <c r="V104" s="14"/>
      <c r="W104" s="243"/>
      <c r="X104" s="243"/>
      <c r="Y104" s="243"/>
      <c r="Z104" s="243"/>
      <c r="AA104" s="243"/>
      <c r="AB104" s="14"/>
      <c r="AC104" s="14"/>
      <c r="AD104" s="14"/>
      <c r="AE104" s="14"/>
      <c r="AF104" s="14"/>
      <c r="AG104" s="14"/>
    </row>
    <row r="105" spans="1:33" s="116" customFormat="1" ht="20.100000000000001" customHeight="1">
      <c r="A105" s="14"/>
      <c r="C105" s="14"/>
      <c r="D105" s="14" t="s">
        <v>372</v>
      </c>
      <c r="E105" s="282"/>
      <c r="F105" s="14"/>
      <c r="G105" s="14"/>
      <c r="H105" s="14"/>
      <c r="I105" s="14"/>
      <c r="J105" s="14"/>
      <c r="K105" s="14"/>
      <c r="L105" s="14"/>
      <c r="M105" s="14"/>
      <c r="N105" s="14"/>
      <c r="O105" s="241"/>
      <c r="P105" s="14"/>
      <c r="Q105" s="14"/>
      <c r="R105" s="14"/>
      <c r="S105" s="14"/>
      <c r="T105" s="14"/>
      <c r="U105" s="14"/>
      <c r="V105" s="14"/>
      <c r="W105" s="243"/>
      <c r="X105" s="243"/>
      <c r="Y105" s="243"/>
      <c r="Z105" s="243"/>
      <c r="AA105" s="243"/>
      <c r="AB105" s="14"/>
      <c r="AC105" s="14"/>
      <c r="AD105" s="14"/>
      <c r="AE105" s="14"/>
      <c r="AF105" s="14"/>
      <c r="AG105" s="14"/>
    </row>
    <row r="106" spans="1:33" s="116" customFormat="1" ht="20.100000000000001" customHeight="1">
      <c r="A106" s="14"/>
      <c r="C106" s="14"/>
      <c r="D106" s="14" t="s">
        <v>564</v>
      </c>
      <c r="E106" s="282"/>
      <c r="F106" s="14"/>
      <c r="G106" s="14"/>
      <c r="H106" s="14"/>
      <c r="I106" s="14"/>
      <c r="J106" s="14"/>
      <c r="K106" s="14"/>
      <c r="L106" s="14"/>
      <c r="M106" s="14"/>
      <c r="N106" s="14"/>
      <c r="O106" s="241"/>
      <c r="P106" s="14"/>
      <c r="Q106" s="14"/>
      <c r="R106" s="14"/>
      <c r="S106" s="14"/>
      <c r="T106" s="14"/>
      <c r="U106" s="14"/>
      <c r="V106" s="14"/>
      <c r="W106" s="243"/>
      <c r="X106" s="243"/>
      <c r="Y106" s="243"/>
      <c r="Z106" s="243"/>
      <c r="AA106" s="243"/>
      <c r="AB106" s="14"/>
      <c r="AC106" s="14"/>
      <c r="AD106" s="14"/>
      <c r="AE106" s="14"/>
      <c r="AF106" s="14"/>
      <c r="AG106" s="14"/>
    </row>
    <row r="107" spans="1:33" s="116" customFormat="1" ht="20.100000000000001" customHeight="1">
      <c r="A107" s="14"/>
      <c r="C107" s="14"/>
      <c r="D107" s="14" t="s">
        <v>40</v>
      </c>
      <c r="E107" s="282"/>
      <c r="F107" s="14"/>
      <c r="G107" s="14"/>
      <c r="H107" s="14"/>
      <c r="I107" s="14"/>
      <c r="J107" s="14"/>
      <c r="K107" s="14"/>
      <c r="L107" s="14"/>
      <c r="M107" s="14"/>
      <c r="N107" s="14"/>
      <c r="O107" s="241"/>
      <c r="P107" s="14"/>
      <c r="Q107" s="14"/>
      <c r="R107" s="14"/>
      <c r="S107" s="14"/>
      <c r="T107" s="14"/>
      <c r="U107" s="14"/>
      <c r="V107" s="14"/>
      <c r="W107" s="243"/>
      <c r="X107" s="243"/>
      <c r="Y107" s="243"/>
      <c r="Z107" s="243"/>
      <c r="AA107" s="243"/>
      <c r="AB107" s="14"/>
      <c r="AC107" s="14"/>
      <c r="AD107" s="14"/>
      <c r="AE107" s="14"/>
      <c r="AF107" s="14"/>
      <c r="AG107" s="14"/>
    </row>
    <row r="108" spans="1:33" s="116" customFormat="1" ht="20.100000000000001" customHeight="1">
      <c r="A108" s="14"/>
      <c r="C108" s="14"/>
      <c r="D108" s="14" t="s">
        <v>18</v>
      </c>
      <c r="E108" s="282"/>
      <c r="F108" s="14"/>
      <c r="G108" s="14"/>
      <c r="H108" s="14"/>
      <c r="I108" s="14"/>
      <c r="J108" s="14"/>
      <c r="K108" s="14"/>
      <c r="L108" s="14"/>
      <c r="M108" s="14"/>
      <c r="N108" s="14"/>
      <c r="O108" s="241"/>
      <c r="P108" s="14"/>
      <c r="Q108" s="14"/>
      <c r="R108" s="14"/>
      <c r="S108" s="14"/>
      <c r="T108" s="14"/>
      <c r="U108" s="14"/>
      <c r="V108" s="14"/>
      <c r="W108" s="243"/>
      <c r="X108" s="243"/>
      <c r="Y108" s="243"/>
      <c r="Z108" s="243"/>
      <c r="AA108" s="243"/>
      <c r="AB108" s="14"/>
      <c r="AC108" s="14"/>
      <c r="AD108" s="14"/>
      <c r="AE108" s="14"/>
      <c r="AF108" s="14"/>
      <c r="AG108" s="14"/>
    </row>
    <row r="109" spans="1:33" s="116" customFormat="1" ht="20.100000000000001" customHeight="1">
      <c r="A109" s="14"/>
      <c r="C109" s="14"/>
      <c r="D109" s="14" t="s">
        <v>565</v>
      </c>
      <c r="E109" s="282"/>
      <c r="F109" s="14"/>
      <c r="G109" s="14"/>
      <c r="H109" s="14"/>
      <c r="I109" s="14"/>
      <c r="J109" s="14"/>
      <c r="K109" s="14"/>
      <c r="L109" s="14"/>
      <c r="M109" s="14"/>
      <c r="N109" s="14"/>
      <c r="O109" s="241"/>
      <c r="P109" s="14"/>
      <c r="Q109" s="14"/>
      <c r="R109" s="14"/>
      <c r="S109" s="14"/>
      <c r="T109" s="14"/>
      <c r="U109" s="14"/>
      <c r="V109" s="14"/>
      <c r="W109" s="243"/>
      <c r="X109" s="243"/>
      <c r="Y109" s="243"/>
      <c r="Z109" s="243"/>
      <c r="AA109" s="243"/>
      <c r="AB109" s="14"/>
      <c r="AC109" s="14"/>
      <c r="AD109" s="14"/>
      <c r="AE109" s="14"/>
      <c r="AF109" s="14"/>
      <c r="AG109" s="14"/>
    </row>
    <row r="110" spans="1:33" s="116" customFormat="1" ht="20.100000000000001" customHeight="1">
      <c r="A110" s="14"/>
      <c r="C110" s="14"/>
      <c r="D110" s="14" t="s">
        <v>165</v>
      </c>
      <c r="E110" s="282"/>
      <c r="F110" s="14"/>
      <c r="G110" s="14"/>
      <c r="H110" s="14"/>
      <c r="I110" s="14"/>
      <c r="J110" s="14"/>
      <c r="K110" s="14"/>
      <c r="L110" s="14"/>
      <c r="M110" s="14"/>
      <c r="N110" s="14"/>
      <c r="O110" s="241"/>
      <c r="P110" s="14"/>
      <c r="Q110" s="14"/>
      <c r="R110" s="14"/>
      <c r="S110" s="14"/>
      <c r="T110" s="14"/>
      <c r="U110" s="14"/>
      <c r="V110" s="14"/>
      <c r="W110" s="243"/>
      <c r="X110" s="243"/>
      <c r="Y110" s="243"/>
      <c r="Z110" s="243"/>
      <c r="AA110" s="243"/>
      <c r="AB110" s="14"/>
      <c r="AC110" s="14"/>
      <c r="AD110" s="14"/>
      <c r="AE110" s="14"/>
      <c r="AF110" s="14"/>
      <c r="AG110" s="14"/>
    </row>
    <row r="111" spans="1:33" s="116" customFormat="1" ht="20.100000000000001" customHeight="1">
      <c r="A111" s="14"/>
      <c r="C111" s="14"/>
      <c r="D111" s="14" t="s">
        <v>349</v>
      </c>
      <c r="E111" s="282"/>
      <c r="F111" s="14"/>
      <c r="G111" s="14"/>
      <c r="H111" s="14"/>
      <c r="I111" s="14"/>
      <c r="J111" s="14"/>
      <c r="K111" s="14"/>
      <c r="L111" s="14"/>
      <c r="M111" s="14"/>
      <c r="N111" s="14"/>
      <c r="O111" s="241"/>
      <c r="P111" s="14"/>
      <c r="Q111" s="14"/>
      <c r="R111" s="14"/>
      <c r="S111" s="14"/>
      <c r="T111" s="14"/>
      <c r="U111" s="14"/>
      <c r="V111" s="14"/>
      <c r="W111" s="243"/>
      <c r="X111" s="243"/>
      <c r="Y111" s="243"/>
      <c r="Z111" s="243"/>
      <c r="AA111" s="243"/>
      <c r="AB111" s="14"/>
      <c r="AC111" s="14"/>
      <c r="AD111" s="14"/>
      <c r="AE111" s="14"/>
      <c r="AF111" s="14"/>
      <c r="AG111" s="14"/>
    </row>
    <row r="112" spans="1:33" s="116" customFormat="1" ht="20.100000000000001" customHeight="1">
      <c r="A112" s="14"/>
      <c r="C112" s="14"/>
      <c r="D112" s="14" t="s">
        <v>173</v>
      </c>
      <c r="E112" s="282"/>
      <c r="F112" s="14"/>
      <c r="G112" s="14"/>
      <c r="H112" s="14"/>
      <c r="I112" s="14"/>
      <c r="J112" s="14"/>
      <c r="K112" s="14"/>
      <c r="L112" s="14"/>
      <c r="M112" s="14"/>
      <c r="N112" s="14"/>
      <c r="O112" s="241"/>
      <c r="P112" s="14"/>
      <c r="Q112" s="14"/>
      <c r="R112" s="14"/>
      <c r="S112" s="14"/>
      <c r="T112" s="14"/>
      <c r="U112" s="14"/>
      <c r="V112" s="14"/>
      <c r="W112" s="243"/>
      <c r="X112" s="243"/>
      <c r="Y112" s="243"/>
      <c r="Z112" s="243"/>
      <c r="AA112" s="243"/>
      <c r="AB112" s="14"/>
      <c r="AC112" s="14"/>
      <c r="AD112" s="14"/>
      <c r="AE112" s="14"/>
      <c r="AF112" s="14"/>
      <c r="AG112" s="14"/>
    </row>
    <row r="113" spans="1:36" s="116" customFormat="1" ht="20.100000000000001" customHeight="1">
      <c r="A113" s="14"/>
      <c r="C113" s="14"/>
      <c r="D113" s="14"/>
      <c r="E113" s="282"/>
      <c r="F113" s="14"/>
      <c r="G113" s="14"/>
      <c r="H113" s="14"/>
      <c r="I113" s="14"/>
      <c r="J113" s="14"/>
      <c r="K113" s="14"/>
      <c r="L113" s="14"/>
      <c r="M113" s="14"/>
      <c r="N113" s="14"/>
      <c r="O113" s="241"/>
      <c r="P113" s="14"/>
      <c r="Q113" s="14"/>
      <c r="R113" s="14"/>
      <c r="S113" s="14"/>
      <c r="T113" s="14"/>
      <c r="U113" s="14"/>
      <c r="V113" s="14"/>
      <c r="W113" s="243"/>
      <c r="X113" s="243"/>
      <c r="Y113" s="243"/>
      <c r="Z113" s="243"/>
      <c r="AA113" s="243"/>
      <c r="AB113" s="14"/>
      <c r="AC113" s="14"/>
      <c r="AD113" s="14"/>
      <c r="AE113" s="14"/>
      <c r="AF113" s="14"/>
      <c r="AG113" s="14"/>
    </row>
    <row r="114" spans="1:36" s="116" customFormat="1" ht="20.100000000000001" customHeight="1">
      <c r="A114" s="14"/>
      <c r="C114" s="14"/>
      <c r="D114" s="14"/>
      <c r="E114" s="282"/>
      <c r="F114" s="14"/>
      <c r="G114" s="14"/>
      <c r="H114" s="14"/>
      <c r="I114" s="14"/>
      <c r="J114" s="14"/>
      <c r="K114" s="14"/>
      <c r="L114" s="14"/>
      <c r="M114" s="14"/>
      <c r="N114" s="14"/>
      <c r="O114" s="241"/>
      <c r="P114" s="14"/>
      <c r="Q114" s="14"/>
      <c r="R114" s="14"/>
      <c r="S114" s="14"/>
      <c r="T114" s="14"/>
      <c r="U114" s="14"/>
      <c r="V114" s="14"/>
      <c r="W114" s="243"/>
      <c r="X114" s="243"/>
      <c r="Y114" s="243"/>
      <c r="Z114" s="243"/>
      <c r="AA114" s="243"/>
      <c r="AB114" s="14"/>
      <c r="AC114" s="14"/>
      <c r="AD114" s="14"/>
      <c r="AE114" s="14"/>
      <c r="AF114" s="14"/>
      <c r="AG114" s="14"/>
    </row>
    <row r="115" spans="1:36" s="116" customFormat="1" ht="20.100000000000001" customHeight="1">
      <c r="A115" s="14"/>
      <c r="C115" s="14"/>
      <c r="D115" s="14"/>
      <c r="E115" s="282"/>
      <c r="F115" s="14"/>
      <c r="G115" s="14"/>
      <c r="H115" s="14"/>
      <c r="I115" s="14"/>
      <c r="J115" s="14"/>
      <c r="K115" s="14"/>
      <c r="L115" s="14"/>
      <c r="M115" s="14"/>
      <c r="N115" s="14"/>
      <c r="O115" s="241"/>
      <c r="P115" s="14"/>
      <c r="Q115" s="14"/>
      <c r="R115" s="14"/>
      <c r="S115" s="14"/>
      <c r="T115" s="14"/>
      <c r="U115" s="14"/>
      <c r="V115" s="14"/>
      <c r="W115" s="243"/>
      <c r="X115" s="243"/>
      <c r="Y115" s="243"/>
      <c r="Z115" s="243"/>
      <c r="AA115" s="243"/>
      <c r="AB115" s="14"/>
      <c r="AC115" s="14"/>
      <c r="AD115" s="14"/>
      <c r="AE115" s="14"/>
      <c r="AF115" s="14"/>
      <c r="AG115" s="14"/>
    </row>
    <row r="116" spans="1:36" s="116" customFormat="1" ht="20.100000000000001" customHeight="1">
      <c r="A116" s="14"/>
      <c r="C116" s="14"/>
      <c r="D116" s="14"/>
      <c r="E116" s="282"/>
      <c r="F116" s="14"/>
      <c r="G116" s="14"/>
      <c r="H116" s="14"/>
      <c r="I116" s="14"/>
      <c r="J116" s="14"/>
      <c r="K116" s="14"/>
      <c r="L116" s="14"/>
      <c r="M116" s="14"/>
      <c r="N116" s="14"/>
      <c r="O116" s="241"/>
      <c r="P116" s="14"/>
      <c r="Q116" s="14"/>
      <c r="R116" s="14"/>
      <c r="S116" s="14"/>
      <c r="T116" s="14"/>
      <c r="U116" s="14"/>
      <c r="V116" s="14"/>
      <c r="W116" s="243"/>
      <c r="X116" s="243"/>
      <c r="Y116" s="243"/>
      <c r="Z116" s="243"/>
      <c r="AA116" s="243"/>
      <c r="AB116" s="14"/>
      <c r="AC116" s="14"/>
      <c r="AD116" s="14"/>
      <c r="AE116" s="14"/>
      <c r="AF116" s="14"/>
      <c r="AG116" s="14"/>
    </row>
    <row r="117" spans="1:36" s="116" customFormat="1" ht="20.100000000000001" customHeight="1">
      <c r="A117" s="14"/>
      <c r="C117" s="14"/>
      <c r="D117" s="14" t="s">
        <v>125</v>
      </c>
      <c r="E117" s="282"/>
      <c r="F117" s="14"/>
      <c r="G117" s="14"/>
      <c r="H117" s="14"/>
      <c r="I117" s="14"/>
      <c r="J117" s="14"/>
      <c r="K117" s="14"/>
      <c r="L117" s="14"/>
      <c r="M117" s="14"/>
      <c r="N117" s="14"/>
      <c r="O117" s="241"/>
      <c r="P117" s="14"/>
      <c r="Q117" s="14"/>
      <c r="R117" s="14"/>
      <c r="S117" s="14"/>
      <c r="T117" s="14"/>
      <c r="U117" s="14"/>
      <c r="V117" s="14"/>
      <c r="W117" s="243"/>
      <c r="X117" s="243"/>
      <c r="Y117" s="243"/>
      <c r="Z117" s="243"/>
      <c r="AA117" s="243"/>
      <c r="AB117" s="14"/>
      <c r="AC117" s="14"/>
      <c r="AD117" s="14"/>
      <c r="AE117" s="14"/>
      <c r="AF117" s="14"/>
      <c r="AG117" s="14"/>
      <c r="AJ117" s="116">
        <v>64680</v>
      </c>
    </row>
    <row r="118" spans="1:36" s="116" customFormat="1" ht="20.100000000000001" customHeight="1">
      <c r="A118" s="14"/>
      <c r="C118" s="14"/>
      <c r="D118" s="14" t="s">
        <v>49</v>
      </c>
      <c r="E118" s="282"/>
      <c r="F118" s="14"/>
      <c r="G118" s="14"/>
      <c r="H118" s="14"/>
      <c r="I118" s="14"/>
      <c r="J118" s="14"/>
      <c r="K118" s="14"/>
      <c r="L118" s="14"/>
      <c r="M118" s="14"/>
      <c r="N118" s="14"/>
      <c r="O118" s="241"/>
      <c r="P118" s="14"/>
      <c r="Q118" s="14"/>
      <c r="R118" s="14"/>
      <c r="S118" s="14"/>
      <c r="T118" s="14"/>
      <c r="U118" s="14"/>
      <c r="V118" s="14"/>
      <c r="W118" s="243"/>
      <c r="X118" s="243"/>
      <c r="Y118" s="243"/>
      <c r="Z118" s="243"/>
      <c r="AA118" s="243"/>
      <c r="AB118" s="14"/>
      <c r="AC118" s="14"/>
      <c r="AD118" s="14"/>
      <c r="AE118" s="14"/>
      <c r="AF118" s="14"/>
      <c r="AG118" s="14"/>
    </row>
    <row r="119" spans="1:36" s="116" customFormat="1" ht="20.100000000000001" customHeight="1">
      <c r="A119" s="14"/>
      <c r="C119" s="14"/>
      <c r="D119" s="14"/>
      <c r="E119" s="282"/>
      <c r="F119" s="14"/>
      <c r="G119" s="14"/>
      <c r="H119" s="14"/>
      <c r="I119" s="14"/>
      <c r="J119" s="14"/>
      <c r="K119" s="14"/>
      <c r="L119" s="14"/>
      <c r="M119" s="14"/>
      <c r="N119" s="14"/>
      <c r="O119" s="241"/>
      <c r="P119" s="14"/>
      <c r="Q119" s="14"/>
      <c r="R119" s="14"/>
      <c r="S119" s="14"/>
      <c r="T119" s="14"/>
      <c r="U119" s="14"/>
      <c r="V119" s="14"/>
      <c r="W119" s="243"/>
      <c r="X119" s="243"/>
      <c r="Y119" s="243"/>
      <c r="Z119" s="243"/>
      <c r="AA119" s="243"/>
      <c r="AB119" s="14"/>
      <c r="AC119" s="14"/>
      <c r="AD119" s="14"/>
      <c r="AE119" s="14"/>
      <c r="AF119" s="14"/>
      <c r="AG119" s="14"/>
    </row>
    <row r="120" spans="1:36" s="116" customFormat="1" ht="20.100000000000001" customHeight="1">
      <c r="A120" s="14"/>
      <c r="C120" s="14"/>
      <c r="D120" s="14" t="s">
        <v>134</v>
      </c>
      <c r="E120" s="282"/>
      <c r="F120" s="14"/>
      <c r="G120" s="14"/>
      <c r="H120" s="14"/>
      <c r="I120" s="14"/>
      <c r="J120" s="14"/>
      <c r="K120" s="14"/>
      <c r="L120" s="14"/>
      <c r="M120" s="14"/>
      <c r="N120" s="14"/>
      <c r="O120" s="241"/>
      <c r="P120" s="14"/>
      <c r="Q120" s="14"/>
      <c r="R120" s="14"/>
      <c r="S120" s="14"/>
      <c r="T120" s="14"/>
      <c r="U120" s="14"/>
      <c r="V120" s="14"/>
      <c r="W120" s="243"/>
      <c r="X120" s="243"/>
      <c r="Y120" s="243"/>
      <c r="Z120" s="243"/>
      <c r="AA120" s="243"/>
      <c r="AB120" s="14"/>
      <c r="AC120" s="14"/>
      <c r="AD120" s="14"/>
      <c r="AE120" s="14"/>
      <c r="AF120" s="14"/>
      <c r="AG120" s="14"/>
    </row>
    <row r="121" spans="1:36" s="116" customFormat="1" ht="20.100000000000001" customHeight="1">
      <c r="A121" s="14"/>
      <c r="C121" s="14"/>
      <c r="D121" s="14" t="s">
        <v>135</v>
      </c>
      <c r="E121" s="282"/>
      <c r="F121" s="14"/>
      <c r="G121" s="14"/>
      <c r="H121" s="14"/>
      <c r="I121" s="14"/>
      <c r="J121" s="14"/>
      <c r="K121" s="14"/>
      <c r="L121" s="14"/>
      <c r="M121" s="14"/>
      <c r="N121" s="14"/>
      <c r="O121" s="241"/>
      <c r="P121" s="14"/>
      <c r="Q121" s="14"/>
      <c r="R121" s="14"/>
      <c r="S121" s="14"/>
      <c r="T121" s="14"/>
      <c r="U121" s="14"/>
      <c r="V121" s="14"/>
      <c r="W121" s="243"/>
      <c r="X121" s="243"/>
      <c r="Y121" s="243"/>
      <c r="Z121" s="243"/>
      <c r="AA121" s="243"/>
      <c r="AB121" s="14"/>
      <c r="AC121" s="14"/>
      <c r="AD121" s="14"/>
      <c r="AE121" s="14"/>
      <c r="AF121" s="14"/>
      <c r="AG121" s="14"/>
    </row>
    <row r="122" spans="1:36" s="116" customFormat="1" ht="20.100000000000001" customHeight="1">
      <c r="A122" s="14"/>
      <c r="C122" s="14"/>
      <c r="D122" s="14"/>
      <c r="E122" s="282"/>
      <c r="F122" s="14"/>
      <c r="G122" s="14"/>
      <c r="H122" s="14"/>
      <c r="I122" s="14"/>
      <c r="J122" s="14"/>
      <c r="K122" s="14"/>
      <c r="L122" s="14"/>
      <c r="M122" s="14"/>
      <c r="N122" s="14"/>
      <c r="O122" s="241"/>
      <c r="P122" s="14"/>
      <c r="Q122" s="14"/>
      <c r="R122" s="14"/>
      <c r="S122" s="14"/>
      <c r="T122" s="14"/>
      <c r="U122" s="14"/>
      <c r="V122" s="14"/>
      <c r="W122" s="243"/>
      <c r="X122" s="243"/>
      <c r="Y122" s="243"/>
      <c r="Z122" s="243"/>
      <c r="AA122" s="243"/>
      <c r="AB122" s="14"/>
      <c r="AC122" s="14"/>
      <c r="AD122" s="14"/>
      <c r="AE122" s="14"/>
      <c r="AF122" s="14"/>
      <c r="AG122" s="14"/>
    </row>
    <row r="123" spans="1:36" s="116" customFormat="1" ht="20.100000000000001" customHeight="1">
      <c r="A123" s="14"/>
      <c r="C123" s="14"/>
      <c r="D123" s="14" t="s">
        <v>69</v>
      </c>
      <c r="E123" s="282"/>
      <c r="F123" s="14"/>
      <c r="G123" s="14"/>
      <c r="H123" s="14"/>
      <c r="I123" s="14"/>
      <c r="J123" s="14"/>
      <c r="K123" s="14"/>
      <c r="L123" s="14"/>
      <c r="M123" s="14"/>
      <c r="N123" s="14"/>
      <c r="O123" s="241"/>
      <c r="P123" s="14"/>
      <c r="Q123" s="14"/>
      <c r="R123" s="14"/>
      <c r="S123" s="14"/>
      <c r="T123" s="14"/>
      <c r="U123" s="14"/>
      <c r="V123" s="14"/>
      <c r="W123" s="243"/>
      <c r="X123" s="243"/>
      <c r="Y123" s="243"/>
      <c r="Z123" s="243"/>
      <c r="AA123" s="243"/>
      <c r="AB123" s="14"/>
      <c r="AC123" s="14"/>
      <c r="AD123" s="14"/>
      <c r="AE123" s="14"/>
      <c r="AF123" s="14"/>
      <c r="AG123" s="14"/>
    </row>
    <row r="124" spans="1:36" s="116" customFormat="1" ht="20.100000000000001" customHeight="1">
      <c r="A124" s="14"/>
      <c r="C124" s="14"/>
      <c r="D124" s="14"/>
      <c r="E124" s="282"/>
      <c r="F124" s="14"/>
      <c r="G124" s="14"/>
      <c r="H124" s="14"/>
      <c r="I124" s="14"/>
      <c r="J124" s="14"/>
      <c r="K124" s="14"/>
      <c r="L124" s="14"/>
      <c r="M124" s="14"/>
      <c r="N124" s="14"/>
      <c r="O124" s="241"/>
      <c r="P124" s="14"/>
      <c r="Q124" s="14"/>
      <c r="R124" s="14"/>
      <c r="S124" s="14"/>
      <c r="T124" s="14"/>
      <c r="U124" s="14"/>
      <c r="V124" s="14"/>
      <c r="W124" s="243"/>
      <c r="X124" s="243"/>
      <c r="Y124" s="243"/>
      <c r="Z124" s="243"/>
      <c r="AA124" s="243"/>
      <c r="AB124" s="14"/>
      <c r="AC124" s="14"/>
      <c r="AD124" s="14"/>
      <c r="AE124" s="14"/>
      <c r="AF124" s="14"/>
      <c r="AG124" s="14"/>
    </row>
    <row r="125" spans="1:36" s="116" customFormat="1" ht="20.100000000000001" customHeight="1">
      <c r="A125" s="14"/>
      <c r="C125" s="14"/>
      <c r="D125" s="14"/>
      <c r="E125" s="282"/>
      <c r="F125" s="14"/>
      <c r="G125" s="14"/>
      <c r="H125" s="14"/>
      <c r="I125" s="14"/>
      <c r="J125" s="14"/>
      <c r="K125" s="14"/>
      <c r="L125" s="14"/>
      <c r="M125" s="14"/>
      <c r="N125" s="14"/>
      <c r="O125" s="241"/>
      <c r="P125" s="14"/>
      <c r="Q125" s="14"/>
      <c r="R125" s="14"/>
      <c r="S125" s="14"/>
      <c r="T125" s="14"/>
      <c r="U125" s="14"/>
      <c r="V125" s="14"/>
      <c r="W125" s="243"/>
      <c r="X125" s="243"/>
      <c r="Y125" s="243"/>
      <c r="Z125" s="243"/>
      <c r="AA125" s="243"/>
      <c r="AB125" s="14"/>
      <c r="AC125" s="14"/>
      <c r="AD125" s="14"/>
      <c r="AE125" s="14"/>
      <c r="AF125" s="14"/>
      <c r="AG125" s="14"/>
    </row>
    <row r="126" spans="1:36" s="116" customFormat="1" ht="20.100000000000001" customHeight="1">
      <c r="A126" s="14"/>
      <c r="C126" s="14"/>
      <c r="D126" s="14" t="s">
        <v>133</v>
      </c>
      <c r="E126" s="282"/>
      <c r="F126" s="14"/>
      <c r="G126" s="14"/>
      <c r="H126" s="14"/>
      <c r="I126" s="14"/>
      <c r="J126" s="14"/>
      <c r="K126" s="14"/>
      <c r="L126" s="14"/>
      <c r="M126" s="14"/>
      <c r="N126" s="14"/>
      <c r="O126" s="241"/>
      <c r="P126" s="14"/>
      <c r="Q126" s="14"/>
      <c r="R126" s="14"/>
      <c r="S126" s="14"/>
      <c r="T126" s="14"/>
      <c r="U126" s="14"/>
      <c r="V126" s="14"/>
      <c r="W126" s="243"/>
      <c r="X126" s="243"/>
      <c r="Y126" s="243"/>
      <c r="Z126" s="243"/>
      <c r="AA126" s="243"/>
      <c r="AB126" s="14"/>
      <c r="AC126" s="14"/>
      <c r="AD126" s="14"/>
      <c r="AE126" s="14"/>
      <c r="AF126" s="14"/>
      <c r="AG126" s="14"/>
    </row>
    <row r="127" spans="1:36" s="116" customFormat="1" ht="20.100000000000001" customHeight="1">
      <c r="A127" s="14"/>
      <c r="C127" s="14"/>
      <c r="D127" s="14" t="s">
        <v>131</v>
      </c>
      <c r="E127" s="282"/>
      <c r="F127" s="14"/>
      <c r="G127" s="14"/>
      <c r="H127" s="14"/>
      <c r="I127" s="14"/>
      <c r="J127" s="14"/>
      <c r="K127" s="14"/>
      <c r="L127" s="14"/>
      <c r="M127" s="14"/>
      <c r="N127" s="14"/>
      <c r="O127" s="241"/>
      <c r="P127" s="14"/>
      <c r="Q127" s="14"/>
      <c r="R127" s="14"/>
      <c r="S127" s="14"/>
      <c r="T127" s="14"/>
      <c r="U127" s="14"/>
      <c r="V127" s="14"/>
      <c r="W127" s="243"/>
      <c r="X127" s="243"/>
      <c r="Y127" s="243"/>
      <c r="Z127" s="243"/>
      <c r="AA127" s="243"/>
      <c r="AB127" s="14"/>
      <c r="AC127" s="14"/>
      <c r="AD127" s="14"/>
      <c r="AE127" s="14"/>
      <c r="AF127" s="14"/>
      <c r="AG127" s="14"/>
    </row>
    <row r="128" spans="1:36" s="116" customFormat="1" ht="20.100000000000001" customHeight="1">
      <c r="A128" s="14"/>
      <c r="C128" s="14"/>
      <c r="D128" s="14" t="s">
        <v>132</v>
      </c>
      <c r="E128" s="282"/>
      <c r="F128" s="14"/>
      <c r="G128" s="14"/>
      <c r="H128" s="14"/>
      <c r="I128" s="14"/>
      <c r="J128" s="14"/>
      <c r="K128" s="14"/>
      <c r="L128" s="14"/>
      <c r="M128" s="14"/>
      <c r="N128" s="14"/>
      <c r="O128" s="241"/>
      <c r="P128" s="14"/>
      <c r="Q128" s="14"/>
      <c r="R128" s="14"/>
      <c r="S128" s="14"/>
      <c r="T128" s="14"/>
      <c r="U128" s="14"/>
      <c r="V128" s="14"/>
      <c r="W128" s="243"/>
      <c r="X128" s="243"/>
      <c r="Y128" s="243"/>
      <c r="Z128" s="243"/>
      <c r="AA128" s="243"/>
      <c r="AB128" s="14"/>
      <c r="AC128" s="14"/>
      <c r="AD128" s="14"/>
      <c r="AE128" s="14"/>
      <c r="AF128" s="14"/>
      <c r="AG128" s="14"/>
    </row>
    <row r="129" spans="1:33" s="116" customFormat="1" ht="20.100000000000001" customHeight="1">
      <c r="A129" s="14"/>
      <c r="C129" s="14"/>
      <c r="D129" s="14"/>
      <c r="E129" s="282"/>
      <c r="F129" s="14"/>
      <c r="G129" s="14"/>
      <c r="H129" s="14"/>
      <c r="I129" s="14"/>
      <c r="J129" s="14"/>
      <c r="K129" s="14"/>
      <c r="L129" s="14"/>
      <c r="M129" s="14"/>
      <c r="N129" s="14"/>
      <c r="O129" s="241"/>
      <c r="P129" s="14"/>
      <c r="Q129" s="14"/>
      <c r="R129" s="14"/>
      <c r="S129" s="14"/>
      <c r="T129" s="14"/>
      <c r="U129" s="14"/>
      <c r="V129" s="14"/>
      <c r="W129" s="243"/>
      <c r="X129" s="243"/>
      <c r="Y129" s="243"/>
      <c r="Z129" s="243"/>
      <c r="AA129" s="243"/>
      <c r="AB129" s="14"/>
      <c r="AC129" s="14"/>
      <c r="AD129" s="14"/>
      <c r="AE129" s="14"/>
      <c r="AF129" s="14"/>
      <c r="AG129" s="14"/>
    </row>
    <row r="130" spans="1:33" s="116" customFormat="1" ht="20.100000000000001" customHeight="1">
      <c r="A130" s="14"/>
      <c r="C130" s="14"/>
      <c r="D130" s="14"/>
      <c r="E130" s="282"/>
      <c r="F130" s="14"/>
      <c r="G130" s="14"/>
      <c r="H130" s="14"/>
      <c r="I130" s="14"/>
      <c r="J130" s="14"/>
      <c r="K130" s="14"/>
      <c r="L130" s="14"/>
      <c r="M130" s="14"/>
      <c r="N130" s="14"/>
      <c r="O130" s="241"/>
      <c r="P130" s="14"/>
      <c r="Q130" s="14"/>
      <c r="R130" s="14"/>
      <c r="S130" s="14"/>
      <c r="T130" s="14"/>
      <c r="U130" s="14"/>
      <c r="V130" s="14"/>
      <c r="W130" s="243"/>
      <c r="X130" s="243"/>
      <c r="Y130" s="243"/>
      <c r="Z130" s="243"/>
      <c r="AA130" s="243"/>
      <c r="AB130" s="14"/>
      <c r="AC130" s="14"/>
      <c r="AD130" s="14"/>
      <c r="AE130" s="14"/>
      <c r="AF130" s="14"/>
      <c r="AG130" s="14"/>
    </row>
    <row r="131" spans="1:33" s="116" customFormat="1" ht="20.100000000000001" customHeight="1">
      <c r="A131" s="14"/>
      <c r="C131" s="14"/>
      <c r="D131" s="14"/>
      <c r="E131" s="282"/>
      <c r="F131" s="14"/>
      <c r="G131" s="14"/>
      <c r="H131" s="14"/>
      <c r="I131" s="14"/>
      <c r="J131" s="14"/>
      <c r="K131" s="14"/>
      <c r="L131" s="14"/>
      <c r="M131" s="14"/>
      <c r="N131" s="14"/>
      <c r="O131" s="241"/>
      <c r="P131" s="14"/>
      <c r="Q131" s="14"/>
      <c r="R131" s="14"/>
      <c r="S131" s="14"/>
      <c r="T131" s="14"/>
      <c r="U131" s="14"/>
      <c r="V131" s="14"/>
      <c r="W131" s="243"/>
      <c r="X131" s="243"/>
      <c r="Y131" s="243"/>
      <c r="Z131" s="243"/>
      <c r="AA131" s="243"/>
      <c r="AB131" s="14"/>
      <c r="AC131" s="14"/>
      <c r="AD131" s="14"/>
      <c r="AE131" s="14"/>
      <c r="AF131" s="14"/>
      <c r="AG131" s="14"/>
    </row>
    <row r="132" spans="1:33" s="116" customFormat="1" ht="20.100000000000001" customHeight="1">
      <c r="A132" s="14"/>
      <c r="C132" s="14"/>
      <c r="D132" s="14"/>
      <c r="E132" s="282"/>
      <c r="F132" s="14"/>
      <c r="G132" s="14"/>
      <c r="H132" s="14"/>
      <c r="I132" s="14"/>
      <c r="J132" s="14"/>
      <c r="K132" s="14"/>
      <c r="L132" s="14"/>
      <c r="M132" s="14"/>
      <c r="N132" s="14"/>
      <c r="O132" s="241"/>
      <c r="P132" s="14"/>
      <c r="Q132" s="14"/>
      <c r="R132" s="14"/>
      <c r="S132" s="14"/>
      <c r="T132" s="14"/>
      <c r="U132" s="14"/>
      <c r="V132" s="14"/>
      <c r="W132" s="243"/>
      <c r="X132" s="243"/>
      <c r="Y132" s="243"/>
      <c r="Z132" s="243"/>
      <c r="AA132" s="243"/>
      <c r="AB132" s="14"/>
      <c r="AC132" s="14"/>
      <c r="AD132" s="14"/>
      <c r="AE132" s="14"/>
      <c r="AF132" s="14"/>
      <c r="AG132" s="14"/>
    </row>
    <row r="133" spans="1:33" s="116" customFormat="1" ht="20.100000000000001" customHeight="1">
      <c r="A133" s="14"/>
      <c r="C133" s="14"/>
      <c r="D133" s="14"/>
      <c r="E133" s="282"/>
      <c r="F133" s="14"/>
      <c r="G133" s="14"/>
      <c r="H133" s="14"/>
      <c r="I133" s="14"/>
      <c r="J133" s="14"/>
      <c r="K133" s="14"/>
      <c r="L133" s="14"/>
      <c r="M133" s="14"/>
      <c r="N133" s="14"/>
      <c r="O133" s="241"/>
      <c r="P133" s="14"/>
      <c r="Q133" s="14"/>
      <c r="R133" s="14"/>
      <c r="S133" s="14"/>
      <c r="T133" s="14"/>
      <c r="U133" s="14"/>
      <c r="V133" s="14"/>
      <c r="W133" s="243"/>
      <c r="X133" s="243"/>
      <c r="Y133" s="243"/>
      <c r="Z133" s="243"/>
      <c r="AA133" s="243"/>
      <c r="AB133" s="14"/>
      <c r="AC133" s="14"/>
      <c r="AD133" s="14"/>
      <c r="AE133" s="14"/>
      <c r="AF133" s="14"/>
      <c r="AG133" s="14"/>
    </row>
  </sheetData>
  <phoneticPr fontId="1" type="noConversion"/>
  <hyperlinks>
    <hyperlink ref="E47" r:id="rId1" xr:uid="{3142A914-453C-4379-A9EB-FE2A943532DA}"/>
    <hyperlink ref="E48" r:id="rId2" xr:uid="{5F926196-2509-4373-86CD-027CB3422D42}"/>
    <hyperlink ref="E49" r:id="rId3" xr:uid="{3F746EDA-C96A-47CA-9696-E77DC5165AF9}"/>
    <hyperlink ref="E41" r:id="rId4" xr:uid="{9947E53E-A6BD-4CE4-A369-395A11E28D4F}"/>
    <hyperlink ref="E70" r:id="rId5" display="https://m.place.naver.com/hairshop/1509576334/home" xr:uid="{D60C10B2-1D23-48E4-8A72-78C95DEFCCA1}"/>
    <hyperlink ref="E40" r:id="rId6" xr:uid="{9337CA7F-581C-472E-82EC-93BDD492755F}"/>
    <hyperlink ref="E82" r:id="rId7" xr:uid="{55731643-AA4C-4737-95BC-04F305A8630F}"/>
    <hyperlink ref="E43" r:id="rId8" xr:uid="{9E560ABE-8B6F-40A3-BAC5-216BFD5F7354}"/>
    <hyperlink ref="E44" r:id="rId9" xr:uid="{6C310E96-AFE3-492D-AF78-24686703257F}"/>
    <hyperlink ref="E51" r:id="rId10" xr:uid="{2959348D-4C26-4ACC-B663-4D0082C4D1C1}"/>
    <hyperlink ref="E52" r:id="rId11" xr:uid="{991973FF-3CF5-4D32-86A0-C5E912409EDB}"/>
  </hyperlinks>
  <pageMargins left="0.7" right="0.7" top="0.75" bottom="0.75" header="0.3" footer="0.3"/>
  <pageSetup paperSize="9" orientation="portrait" r:id="rId12"/>
  <tableParts count="1"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E103-DC51-4E92-AE6B-DFECC7E2A28C}">
  <dimension ref="A1:H44"/>
  <sheetViews>
    <sheetView topLeftCell="A12" workbookViewId="0">
      <selection activeCell="I11" sqref="I11"/>
    </sheetView>
  </sheetViews>
  <sheetFormatPr defaultRowHeight="16.5"/>
  <cols>
    <col min="2" max="2" width="16.5" customWidth="1"/>
    <col min="3" max="3" width="12.875" bestFit="1" customWidth="1"/>
    <col min="4" max="4" width="11.125" bestFit="1" customWidth="1"/>
  </cols>
  <sheetData>
    <row r="1" spans="1:8">
      <c r="E1" t="s">
        <v>528</v>
      </c>
      <c r="G1" t="s">
        <v>529</v>
      </c>
    </row>
    <row r="2" spans="1:8">
      <c r="A2" t="s">
        <v>452</v>
      </c>
      <c r="B2" t="s">
        <v>267</v>
      </c>
      <c r="C2" t="s">
        <v>453</v>
      </c>
      <c r="D2" t="s">
        <v>454</v>
      </c>
      <c r="E2" t="s">
        <v>455</v>
      </c>
      <c r="F2" t="s">
        <v>456</v>
      </c>
      <c r="G2" t="s">
        <v>455</v>
      </c>
      <c r="H2" t="s">
        <v>456</v>
      </c>
    </row>
    <row r="3" spans="1:8">
      <c r="A3" t="s">
        <v>484</v>
      </c>
      <c r="B3" t="s">
        <v>485</v>
      </c>
      <c r="E3">
        <v>4</v>
      </c>
      <c r="F3">
        <v>50</v>
      </c>
      <c r="G3">
        <f>E3-1</f>
        <v>3</v>
      </c>
      <c r="H3">
        <v>50</v>
      </c>
    </row>
    <row r="4" spans="1:8">
      <c r="A4" t="s">
        <v>484</v>
      </c>
      <c r="B4" t="s">
        <v>486</v>
      </c>
      <c r="E4">
        <v>6</v>
      </c>
      <c r="F4">
        <v>40</v>
      </c>
      <c r="G4">
        <f t="shared" ref="G4:G44" si="0">E4-1</f>
        <v>5</v>
      </c>
      <c r="H4">
        <v>40</v>
      </c>
    </row>
    <row r="5" spans="1:8">
      <c r="A5" t="s">
        <v>484</v>
      </c>
      <c r="B5" t="s">
        <v>487</v>
      </c>
      <c r="E5">
        <v>6</v>
      </c>
      <c r="F5">
        <v>40</v>
      </c>
      <c r="G5">
        <f t="shared" si="0"/>
        <v>5</v>
      </c>
      <c r="H5">
        <v>40</v>
      </c>
    </row>
    <row r="6" spans="1:8">
      <c r="A6" t="s">
        <v>494</v>
      </c>
      <c r="B6" t="s">
        <v>495</v>
      </c>
      <c r="E6">
        <v>6</v>
      </c>
      <c r="F6">
        <v>40</v>
      </c>
      <c r="G6">
        <f t="shared" si="0"/>
        <v>5</v>
      </c>
      <c r="H6">
        <v>40</v>
      </c>
    </row>
    <row r="7" spans="1:8">
      <c r="A7" t="s">
        <v>494</v>
      </c>
      <c r="B7" t="s">
        <v>496</v>
      </c>
      <c r="E7">
        <v>6</v>
      </c>
      <c r="F7">
        <v>30</v>
      </c>
      <c r="G7">
        <f t="shared" si="0"/>
        <v>5</v>
      </c>
      <c r="H7">
        <v>30</v>
      </c>
    </row>
    <row r="8" spans="1:8">
      <c r="A8" t="s">
        <v>494</v>
      </c>
      <c r="B8" t="s">
        <v>243</v>
      </c>
      <c r="E8">
        <v>6</v>
      </c>
      <c r="F8">
        <v>60</v>
      </c>
      <c r="G8">
        <f t="shared" si="0"/>
        <v>5</v>
      </c>
      <c r="H8">
        <v>60</v>
      </c>
    </row>
    <row r="9" spans="1:8">
      <c r="A9" t="s">
        <v>481</v>
      </c>
      <c r="B9" t="s">
        <v>482</v>
      </c>
      <c r="E9">
        <v>6</v>
      </c>
      <c r="G9">
        <f t="shared" si="0"/>
        <v>5</v>
      </c>
    </row>
    <row r="10" spans="1:8">
      <c r="A10" t="s">
        <v>481</v>
      </c>
      <c r="B10" t="s">
        <v>483</v>
      </c>
      <c r="E10">
        <v>5</v>
      </c>
      <c r="G10">
        <f t="shared" si="0"/>
        <v>4</v>
      </c>
    </row>
    <row r="11" spans="1:8">
      <c r="A11" t="s">
        <v>476</v>
      </c>
      <c r="B11" t="s">
        <v>477</v>
      </c>
      <c r="E11">
        <v>6</v>
      </c>
      <c r="G11">
        <f t="shared" si="0"/>
        <v>5</v>
      </c>
    </row>
    <row r="12" spans="1:8">
      <c r="A12" t="s">
        <v>476</v>
      </c>
      <c r="B12" t="s">
        <v>478</v>
      </c>
      <c r="E12">
        <v>6</v>
      </c>
      <c r="F12">
        <v>50</v>
      </c>
      <c r="G12">
        <f t="shared" si="0"/>
        <v>5</v>
      </c>
      <c r="H12">
        <v>50</v>
      </c>
    </row>
    <row r="13" spans="1:8">
      <c r="A13" t="s">
        <v>476</v>
      </c>
      <c r="B13" t="s">
        <v>479</v>
      </c>
      <c r="E13">
        <v>5</v>
      </c>
      <c r="F13">
        <v>100</v>
      </c>
      <c r="G13">
        <f t="shared" si="0"/>
        <v>4</v>
      </c>
      <c r="H13">
        <v>100</v>
      </c>
    </row>
    <row r="14" spans="1:8">
      <c r="A14" t="s">
        <v>476</v>
      </c>
      <c r="B14" t="s">
        <v>480</v>
      </c>
      <c r="E14">
        <v>6</v>
      </c>
      <c r="F14">
        <v>30</v>
      </c>
      <c r="G14">
        <f t="shared" si="0"/>
        <v>5</v>
      </c>
      <c r="H14">
        <v>30</v>
      </c>
    </row>
    <row r="15" spans="1:8">
      <c r="A15" t="s">
        <v>472</v>
      </c>
      <c r="B15" t="s">
        <v>473</v>
      </c>
      <c r="E15">
        <v>4</v>
      </c>
      <c r="F15">
        <v>50</v>
      </c>
      <c r="G15">
        <f t="shared" si="0"/>
        <v>3</v>
      </c>
      <c r="H15">
        <v>50</v>
      </c>
    </row>
    <row r="16" spans="1:8">
      <c r="A16" t="s">
        <v>472</v>
      </c>
      <c r="B16" t="s">
        <v>474</v>
      </c>
      <c r="E16">
        <v>5</v>
      </c>
      <c r="F16">
        <v>50</v>
      </c>
      <c r="G16">
        <f t="shared" si="0"/>
        <v>4</v>
      </c>
      <c r="H16">
        <v>50</v>
      </c>
    </row>
    <row r="17" spans="1:8">
      <c r="A17" t="s">
        <v>472</v>
      </c>
      <c r="B17" t="s">
        <v>475</v>
      </c>
      <c r="E17">
        <v>6</v>
      </c>
      <c r="G17">
        <f t="shared" si="0"/>
        <v>5</v>
      </c>
    </row>
    <row r="18" spans="1:8">
      <c r="A18" t="s">
        <v>472</v>
      </c>
      <c r="B18" t="s">
        <v>247</v>
      </c>
      <c r="E18">
        <v>5</v>
      </c>
      <c r="G18">
        <f t="shared" si="0"/>
        <v>4</v>
      </c>
    </row>
    <row r="19" spans="1:8">
      <c r="A19" t="s">
        <v>469</v>
      </c>
      <c r="B19" t="s">
        <v>241</v>
      </c>
      <c r="E19">
        <v>6</v>
      </c>
      <c r="F19">
        <v>60</v>
      </c>
      <c r="G19">
        <f t="shared" si="0"/>
        <v>5</v>
      </c>
      <c r="H19">
        <v>60</v>
      </c>
    </row>
    <row r="20" spans="1:8">
      <c r="A20" t="s">
        <v>469</v>
      </c>
      <c r="B20" t="s">
        <v>470</v>
      </c>
      <c r="E20">
        <v>6</v>
      </c>
      <c r="F20">
        <v>30</v>
      </c>
      <c r="G20">
        <f t="shared" si="0"/>
        <v>5</v>
      </c>
      <c r="H20">
        <v>30</v>
      </c>
    </row>
    <row r="21" spans="1:8">
      <c r="A21" t="s">
        <v>469</v>
      </c>
      <c r="B21" t="s">
        <v>471</v>
      </c>
      <c r="E21">
        <v>5</v>
      </c>
      <c r="G21">
        <f t="shared" si="0"/>
        <v>4</v>
      </c>
    </row>
    <row r="22" spans="1:8">
      <c r="A22" t="s">
        <v>488</v>
      </c>
      <c r="B22" t="s">
        <v>489</v>
      </c>
      <c r="E22">
        <v>5</v>
      </c>
      <c r="F22">
        <v>80</v>
      </c>
      <c r="G22">
        <f t="shared" si="0"/>
        <v>4</v>
      </c>
      <c r="H22">
        <v>80</v>
      </c>
    </row>
    <row r="23" spans="1:8">
      <c r="A23" t="s">
        <v>488</v>
      </c>
      <c r="B23" t="s">
        <v>490</v>
      </c>
      <c r="E23">
        <v>5</v>
      </c>
      <c r="F23">
        <v>50</v>
      </c>
      <c r="G23">
        <f t="shared" si="0"/>
        <v>4</v>
      </c>
      <c r="H23">
        <v>50</v>
      </c>
    </row>
    <row r="24" spans="1:8">
      <c r="A24" t="s">
        <v>488</v>
      </c>
      <c r="B24" t="s">
        <v>491</v>
      </c>
      <c r="E24">
        <v>5</v>
      </c>
      <c r="G24">
        <f t="shared" si="0"/>
        <v>4</v>
      </c>
    </row>
    <row r="25" spans="1:8">
      <c r="A25" t="s">
        <v>488</v>
      </c>
      <c r="B25" t="s">
        <v>492</v>
      </c>
      <c r="E25">
        <v>5</v>
      </c>
      <c r="F25">
        <v>40</v>
      </c>
      <c r="G25">
        <f t="shared" si="0"/>
        <v>4</v>
      </c>
      <c r="H25">
        <v>40</v>
      </c>
    </row>
    <row r="26" spans="1:8">
      <c r="A26" t="s">
        <v>488</v>
      </c>
      <c r="B26" t="s">
        <v>249</v>
      </c>
      <c r="E26">
        <v>4</v>
      </c>
      <c r="F26">
        <v>50</v>
      </c>
      <c r="G26">
        <f t="shared" si="0"/>
        <v>3</v>
      </c>
      <c r="H26">
        <v>50</v>
      </c>
    </row>
    <row r="27" spans="1:8">
      <c r="A27" t="s">
        <v>488</v>
      </c>
      <c r="B27" t="s">
        <v>493</v>
      </c>
      <c r="E27">
        <v>4</v>
      </c>
      <c r="G27">
        <f t="shared" si="0"/>
        <v>3</v>
      </c>
    </row>
    <row r="28" spans="1:8">
      <c r="A28" t="s">
        <v>466</v>
      </c>
      <c r="B28" t="s">
        <v>467</v>
      </c>
      <c r="E28">
        <v>5</v>
      </c>
      <c r="G28">
        <f t="shared" si="0"/>
        <v>4</v>
      </c>
    </row>
    <row r="29" spans="1:8">
      <c r="A29" t="s">
        <v>466</v>
      </c>
      <c r="B29" t="s">
        <v>235</v>
      </c>
      <c r="E29">
        <v>6</v>
      </c>
      <c r="G29">
        <f t="shared" si="0"/>
        <v>5</v>
      </c>
    </row>
    <row r="30" spans="1:8">
      <c r="A30" t="s">
        <v>466</v>
      </c>
      <c r="B30" t="s">
        <v>468</v>
      </c>
      <c r="E30">
        <v>6</v>
      </c>
      <c r="G30">
        <f t="shared" si="0"/>
        <v>5</v>
      </c>
    </row>
    <row r="31" spans="1:8">
      <c r="A31" t="s">
        <v>461</v>
      </c>
      <c r="B31" t="s">
        <v>462</v>
      </c>
      <c r="E31">
        <v>5</v>
      </c>
      <c r="F31">
        <v>50</v>
      </c>
      <c r="G31">
        <f t="shared" si="0"/>
        <v>4</v>
      </c>
      <c r="H31">
        <v>50</v>
      </c>
    </row>
    <row r="32" spans="1:8">
      <c r="A32" t="s">
        <v>461</v>
      </c>
      <c r="B32" t="s">
        <v>237</v>
      </c>
      <c r="E32">
        <v>5</v>
      </c>
      <c r="F32">
        <v>60</v>
      </c>
      <c r="G32">
        <f t="shared" si="0"/>
        <v>4</v>
      </c>
      <c r="H32">
        <v>60</v>
      </c>
    </row>
    <row r="33" spans="1:8">
      <c r="A33" t="s">
        <v>461</v>
      </c>
      <c r="B33" t="s">
        <v>463</v>
      </c>
      <c r="E33">
        <v>5</v>
      </c>
      <c r="F33">
        <v>70</v>
      </c>
      <c r="G33">
        <f t="shared" si="0"/>
        <v>4</v>
      </c>
      <c r="H33">
        <v>70</v>
      </c>
    </row>
    <row r="34" spans="1:8">
      <c r="A34" t="s">
        <v>461</v>
      </c>
      <c r="B34" t="s">
        <v>239</v>
      </c>
      <c r="E34">
        <v>5</v>
      </c>
      <c r="F34">
        <v>50</v>
      </c>
      <c r="G34">
        <f t="shared" si="0"/>
        <v>4</v>
      </c>
      <c r="H34">
        <v>50</v>
      </c>
    </row>
    <row r="35" spans="1:8">
      <c r="A35" t="s">
        <v>461</v>
      </c>
      <c r="B35" t="s">
        <v>251</v>
      </c>
      <c r="E35">
        <v>5</v>
      </c>
      <c r="F35">
        <v>50</v>
      </c>
      <c r="G35">
        <f t="shared" si="0"/>
        <v>4</v>
      </c>
      <c r="H35">
        <v>50</v>
      </c>
    </row>
    <row r="36" spans="1:8">
      <c r="A36" t="s">
        <v>461</v>
      </c>
      <c r="B36" t="s">
        <v>464</v>
      </c>
      <c r="E36">
        <v>4</v>
      </c>
      <c r="G36">
        <f t="shared" si="0"/>
        <v>3</v>
      </c>
    </row>
    <row r="37" spans="1:8">
      <c r="A37" t="s">
        <v>461</v>
      </c>
      <c r="B37" t="s">
        <v>465</v>
      </c>
      <c r="E37">
        <v>6</v>
      </c>
      <c r="F37">
        <v>40</v>
      </c>
      <c r="G37">
        <f t="shared" si="0"/>
        <v>5</v>
      </c>
      <c r="H37">
        <v>40</v>
      </c>
    </row>
    <row r="38" spans="1:8">
      <c r="A38" t="s">
        <v>457</v>
      </c>
      <c r="B38" t="s">
        <v>458</v>
      </c>
      <c r="E38">
        <v>5</v>
      </c>
      <c r="F38">
        <v>40</v>
      </c>
      <c r="G38">
        <f t="shared" si="0"/>
        <v>4</v>
      </c>
      <c r="H38">
        <v>40</v>
      </c>
    </row>
    <row r="39" spans="1:8">
      <c r="A39" t="s">
        <v>457</v>
      </c>
      <c r="B39" t="s">
        <v>231</v>
      </c>
      <c r="E39">
        <v>5</v>
      </c>
      <c r="F39">
        <v>40</v>
      </c>
      <c r="G39">
        <f t="shared" si="0"/>
        <v>4</v>
      </c>
      <c r="H39">
        <v>40</v>
      </c>
    </row>
    <row r="40" spans="1:8">
      <c r="A40" t="s">
        <v>457</v>
      </c>
      <c r="B40" t="s">
        <v>459</v>
      </c>
      <c r="E40">
        <v>4</v>
      </c>
      <c r="F40">
        <v>40</v>
      </c>
      <c r="G40">
        <f t="shared" si="0"/>
        <v>3</v>
      </c>
      <c r="H40">
        <v>40</v>
      </c>
    </row>
    <row r="41" spans="1:8">
      <c r="A41" t="s">
        <v>457</v>
      </c>
      <c r="B41" t="s">
        <v>460</v>
      </c>
      <c r="E41">
        <v>6</v>
      </c>
      <c r="G41">
        <f t="shared" si="0"/>
        <v>5</v>
      </c>
    </row>
    <row r="42" spans="1:8">
      <c r="A42" t="s">
        <v>457</v>
      </c>
      <c r="B42" t="s">
        <v>229</v>
      </c>
      <c r="E42">
        <v>6</v>
      </c>
      <c r="G42">
        <f t="shared" si="0"/>
        <v>5</v>
      </c>
    </row>
    <row r="43" spans="1:8">
      <c r="A43" t="s">
        <v>457</v>
      </c>
      <c r="B43" t="s">
        <v>245</v>
      </c>
      <c r="E43">
        <v>5</v>
      </c>
      <c r="F43">
        <v>80</v>
      </c>
      <c r="G43">
        <f t="shared" si="0"/>
        <v>4</v>
      </c>
      <c r="H43">
        <v>80</v>
      </c>
    </row>
    <row r="44" spans="1:8">
      <c r="A44" t="s">
        <v>457</v>
      </c>
      <c r="B44" t="s">
        <v>233</v>
      </c>
      <c r="E44">
        <v>5</v>
      </c>
      <c r="G44">
        <f t="shared" si="0"/>
        <v>4</v>
      </c>
    </row>
  </sheetData>
  <autoFilter ref="A2:H2" xr:uid="{509CDF19-F95D-413D-A68C-D0EC18C00063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CF08-77EF-4036-B98C-F772F406CFB2}">
  <dimension ref="A1:AL121"/>
  <sheetViews>
    <sheetView zoomScale="85" zoomScaleNormal="85" workbookViewId="0">
      <pane ySplit="2" topLeftCell="A3" activePane="bottomLeft" state="frozen"/>
      <selection activeCell="D1" sqref="D1"/>
      <selection pane="bottomLeft" activeCell="D19" sqref="D19"/>
    </sheetView>
  </sheetViews>
  <sheetFormatPr defaultRowHeight="16.5"/>
  <cols>
    <col min="1" max="1" width="12.25" style="2" customWidth="1"/>
    <col min="2" max="2" width="10" customWidth="1"/>
    <col min="3" max="3" width="13.25" style="15" bestFit="1" customWidth="1"/>
    <col min="4" max="4" width="20.25" style="15" bestFit="1" customWidth="1"/>
    <col min="5" max="5" width="13.875" style="275" customWidth="1"/>
    <col min="6" max="7" width="7.625" customWidth="1"/>
    <col min="8" max="9" width="9" customWidth="1"/>
    <col min="10" max="13" width="7.625" customWidth="1"/>
    <col min="14" max="15" width="7.625" style="2" customWidth="1"/>
    <col min="16" max="16" width="9.25" style="2" customWidth="1"/>
    <col min="17" max="17" width="10.875" style="2" customWidth="1"/>
    <col min="18" max="18" width="8.875" style="15" customWidth="1"/>
    <col min="19" max="19" width="10" style="2" customWidth="1"/>
    <col min="20" max="20" width="9.25" style="2" customWidth="1"/>
    <col min="21" max="21" width="10" style="2" customWidth="1"/>
    <col min="22" max="22" width="8.25" style="15" bestFit="1" customWidth="1"/>
    <col min="23" max="23" width="8.25" style="15" customWidth="1"/>
    <col min="24" max="29" width="9" style="2"/>
    <col min="30" max="30" width="30.625" style="2" customWidth="1"/>
    <col min="31" max="32" width="20.25" style="15" customWidth="1"/>
    <col min="33" max="33" width="9" style="2" customWidth="1"/>
    <col min="34" max="34" width="9" style="2"/>
    <col min="35" max="36" width="15.125" style="15" customWidth="1"/>
    <col min="37" max="37" width="9" style="2" customWidth="1"/>
    <col min="38" max="38" width="9" style="2"/>
  </cols>
  <sheetData>
    <row r="1" spans="1:38" ht="36" customHeight="1" thickBot="1">
      <c r="A1" s="238" t="s">
        <v>504</v>
      </c>
      <c r="B1" s="238"/>
      <c r="F1" s="2"/>
      <c r="G1" s="2"/>
      <c r="H1" s="2"/>
      <c r="I1" s="2"/>
      <c r="J1" s="2"/>
      <c r="K1" s="2"/>
      <c r="L1" s="2"/>
      <c r="M1" s="2"/>
      <c r="N1" s="15"/>
      <c r="S1" s="15"/>
      <c r="V1" s="2"/>
      <c r="W1" s="2"/>
      <c r="AA1" s="15"/>
      <c r="AB1" s="15"/>
      <c r="AC1" s="15"/>
      <c r="AD1" s="15"/>
      <c r="AE1" s="2"/>
      <c r="AF1" s="2"/>
      <c r="AG1"/>
      <c r="AH1"/>
      <c r="AI1"/>
      <c r="AJ1"/>
      <c r="AK1"/>
      <c r="AL1"/>
    </row>
    <row r="2" spans="1:38" s="270" customFormat="1" ht="23.25" customHeight="1" thickBot="1">
      <c r="A2" s="253" t="s">
        <v>505</v>
      </c>
      <c r="B2" s="254" t="s">
        <v>519</v>
      </c>
      <c r="C2" s="255" t="s">
        <v>427</v>
      </c>
      <c r="D2" s="256" t="s">
        <v>198</v>
      </c>
      <c r="E2" s="276" t="s">
        <v>426</v>
      </c>
      <c r="F2" s="258" t="s">
        <v>524</v>
      </c>
      <c r="G2" s="257" t="s">
        <v>75</v>
      </c>
      <c r="H2" s="255" t="s">
        <v>439</v>
      </c>
      <c r="I2" s="259" t="s">
        <v>499</v>
      </c>
      <c r="J2" s="258" t="s">
        <v>498</v>
      </c>
      <c r="K2" s="259" t="s">
        <v>440</v>
      </c>
      <c r="L2" s="256" t="s">
        <v>371</v>
      </c>
      <c r="M2" s="256" t="s">
        <v>299</v>
      </c>
      <c r="N2" s="260" t="s">
        <v>300</v>
      </c>
      <c r="O2" s="258" t="s">
        <v>156</v>
      </c>
      <c r="P2" s="261" t="s">
        <v>121</v>
      </c>
      <c r="Q2" s="262" t="s">
        <v>54</v>
      </c>
      <c r="R2" s="263" t="s">
        <v>116</v>
      </c>
      <c r="S2" s="263" t="s">
        <v>339</v>
      </c>
      <c r="T2" s="264" t="s">
        <v>189</v>
      </c>
      <c r="U2" s="265" t="s">
        <v>53</v>
      </c>
      <c r="V2" s="266" t="s">
        <v>195</v>
      </c>
      <c r="W2" s="267" t="s">
        <v>375</v>
      </c>
      <c r="X2" s="267" t="s">
        <v>376</v>
      </c>
      <c r="Y2" s="268" t="s">
        <v>196</v>
      </c>
      <c r="Z2" s="269" t="s">
        <v>197</v>
      </c>
      <c r="AA2" s="256" t="s">
        <v>378</v>
      </c>
      <c r="AB2" s="256" t="s">
        <v>361</v>
      </c>
      <c r="AC2" s="256" t="s">
        <v>159</v>
      </c>
      <c r="AD2" s="256" t="s">
        <v>11</v>
      </c>
      <c r="AE2" s="261" t="s">
        <v>199</v>
      </c>
      <c r="AF2" s="256"/>
    </row>
    <row r="3" spans="1:38" s="252" customFormat="1" ht="23.25" customHeight="1">
      <c r="A3" s="53" t="s">
        <v>506</v>
      </c>
      <c r="B3" s="248">
        <v>45986</v>
      </c>
      <c r="C3" s="53">
        <v>2064392403</v>
      </c>
      <c r="D3" s="53" t="s">
        <v>419</v>
      </c>
      <c r="E3" s="277" t="str">
        <f>"https://m.place.naver.com/place/" &amp;C3 &amp; "/home"</f>
        <v>https://m.place.naver.com/place/2064392403/home</v>
      </c>
      <c r="F3" s="53"/>
      <c r="G3" s="53">
        <v>200</v>
      </c>
      <c r="H3" s="53"/>
      <c r="I3" s="53"/>
      <c r="J3" s="53"/>
      <c r="K3" s="53"/>
      <c r="L3" s="53"/>
      <c r="M3" s="53"/>
      <c r="N3" s="249"/>
      <c r="O3" s="53">
        <v>100</v>
      </c>
      <c r="P3" s="53"/>
      <c r="Q3" s="250"/>
      <c r="R3" s="236"/>
      <c r="S3" s="237"/>
      <c r="T3" s="250"/>
      <c r="U3" s="250"/>
      <c r="V3" s="251"/>
      <c r="W3" s="251"/>
      <c r="X3" s="251"/>
      <c r="Y3" s="251"/>
      <c r="Z3" s="251"/>
      <c r="AA3" s="53"/>
      <c r="AB3" s="53"/>
      <c r="AC3" s="53"/>
      <c r="AD3" s="53"/>
      <c r="AE3" s="53"/>
      <c r="AF3" s="53"/>
    </row>
    <row r="4" spans="1:38" s="116" customFormat="1" ht="23.25" customHeight="1">
      <c r="A4" s="14"/>
      <c r="B4" s="14"/>
      <c r="C4" s="14"/>
      <c r="D4" s="14"/>
      <c r="E4" s="278"/>
      <c r="F4" s="14"/>
      <c r="G4" s="14"/>
      <c r="H4" s="14"/>
      <c r="I4" s="14"/>
      <c r="J4" s="14"/>
      <c r="K4" s="14"/>
      <c r="L4" s="14"/>
      <c r="M4" s="14"/>
      <c r="N4" s="241"/>
      <c r="O4" s="14"/>
      <c r="P4" s="14"/>
      <c r="Q4" s="242"/>
      <c r="R4" s="215"/>
      <c r="S4" s="216"/>
      <c r="T4" s="242"/>
      <c r="U4" s="242"/>
      <c r="V4" s="243"/>
      <c r="W4" s="243"/>
      <c r="X4" s="243"/>
      <c r="Y4" s="243"/>
      <c r="Z4" s="243"/>
      <c r="AA4" s="244"/>
      <c r="AB4" s="244"/>
      <c r="AC4" s="14"/>
      <c r="AD4" s="14"/>
      <c r="AE4" s="14"/>
      <c r="AF4" s="14"/>
    </row>
    <row r="5" spans="1:38" s="116" customFormat="1" ht="23.25" customHeight="1">
      <c r="A5" s="14" t="s">
        <v>507</v>
      </c>
      <c r="B5" s="239">
        <v>45987</v>
      </c>
      <c r="C5" s="14">
        <v>1173433139</v>
      </c>
      <c r="D5" s="14" t="s">
        <v>442</v>
      </c>
      <c r="E5" s="278" t="str">
        <f>"https://m.place.naver.com/place/" &amp;C5 &amp; "/home"</f>
        <v>https://m.place.naver.com/place/1173433139/home</v>
      </c>
      <c r="F5" s="14">
        <v>100</v>
      </c>
      <c r="G5" s="14"/>
      <c r="H5" s="14"/>
      <c r="I5" s="14"/>
      <c r="J5" s="14"/>
      <c r="K5" s="14"/>
      <c r="L5" s="14"/>
      <c r="M5" s="14"/>
      <c r="N5" s="241"/>
      <c r="O5" s="14">
        <v>100</v>
      </c>
      <c r="P5" s="14"/>
      <c r="Q5" s="242"/>
      <c r="R5" s="215"/>
      <c r="S5" s="216"/>
      <c r="T5" s="242"/>
      <c r="U5" s="242"/>
      <c r="V5" s="243"/>
      <c r="W5" s="243"/>
      <c r="X5" s="243"/>
      <c r="Y5" s="243"/>
      <c r="Z5" s="243"/>
      <c r="AA5" s="244"/>
      <c r="AB5" s="244"/>
      <c r="AC5" s="14"/>
      <c r="AD5" s="14"/>
      <c r="AE5" s="14"/>
      <c r="AF5" s="14"/>
    </row>
    <row r="6" spans="1:38" s="116" customFormat="1" ht="20.100000000000001" customHeight="1">
      <c r="A6" s="14"/>
      <c r="C6" s="14"/>
      <c r="D6" s="14"/>
      <c r="E6" s="278"/>
      <c r="F6" s="14"/>
      <c r="G6" s="14"/>
      <c r="H6" s="14"/>
      <c r="I6" s="14"/>
      <c r="J6" s="14"/>
      <c r="K6" s="14"/>
      <c r="L6" s="14"/>
      <c r="M6" s="14"/>
      <c r="N6" s="241"/>
      <c r="O6" s="14">
        <v>100</v>
      </c>
      <c r="P6" s="14"/>
      <c r="Q6" s="14"/>
      <c r="R6" s="14"/>
      <c r="S6" s="14"/>
      <c r="T6" s="14"/>
      <c r="U6" s="14"/>
      <c r="V6" s="243"/>
      <c r="W6" s="243"/>
      <c r="X6" s="243"/>
      <c r="Y6" s="243"/>
      <c r="Z6" s="243"/>
      <c r="AA6" s="14"/>
      <c r="AB6" s="14"/>
      <c r="AC6" s="14"/>
      <c r="AD6" s="14"/>
      <c r="AE6" s="14"/>
      <c r="AF6" s="14"/>
    </row>
    <row r="7" spans="1:38" s="116" customFormat="1" ht="23.25" customHeight="1">
      <c r="A7" s="14" t="s">
        <v>508</v>
      </c>
      <c r="B7" s="239">
        <v>45988</v>
      </c>
      <c r="C7" s="14">
        <v>2011495902</v>
      </c>
      <c r="D7" s="14" t="s">
        <v>346</v>
      </c>
      <c r="E7" s="278" t="str">
        <f t="shared" ref="E7:E15" si="0">"https://m.place.naver.com/place/" &amp;C7 &amp; "/home"</f>
        <v>https://m.place.naver.com/place/2011495902/home</v>
      </c>
      <c r="F7" s="14"/>
      <c r="G7" s="14"/>
      <c r="H7" s="14"/>
      <c r="I7" s="14">
        <v>100</v>
      </c>
      <c r="J7" s="14"/>
      <c r="K7" s="14"/>
      <c r="L7" s="14"/>
      <c r="M7" s="14"/>
      <c r="N7" s="241"/>
      <c r="O7" s="14"/>
      <c r="P7" s="14"/>
      <c r="Q7" s="242"/>
      <c r="R7" s="215"/>
      <c r="S7" s="216"/>
      <c r="T7" s="242"/>
      <c r="U7" s="242"/>
      <c r="V7" s="243"/>
      <c r="W7" s="243"/>
      <c r="X7" s="243"/>
      <c r="Y7" s="243"/>
      <c r="Z7" s="243"/>
      <c r="AA7" s="14"/>
      <c r="AB7" s="14"/>
      <c r="AC7" s="14"/>
      <c r="AD7" s="14"/>
      <c r="AE7" s="14"/>
      <c r="AF7" s="14"/>
    </row>
    <row r="8" spans="1:38" s="116" customFormat="1" ht="23.25" customHeight="1">
      <c r="A8" s="14"/>
      <c r="B8" s="14"/>
      <c r="C8" s="14">
        <v>2036330504</v>
      </c>
      <c r="D8" s="14" t="s">
        <v>347</v>
      </c>
      <c r="E8" s="278" t="str">
        <f t="shared" si="0"/>
        <v>https://m.place.naver.com/place/2036330504/home</v>
      </c>
      <c r="F8" s="14"/>
      <c r="G8" s="14"/>
      <c r="H8" s="14"/>
      <c r="I8" s="14">
        <v>100</v>
      </c>
      <c r="J8" s="14"/>
      <c r="K8" s="14"/>
      <c r="L8" s="14"/>
      <c r="M8" s="14"/>
      <c r="N8" s="241"/>
      <c r="O8" s="14"/>
      <c r="P8" s="14"/>
      <c r="Q8" s="242"/>
      <c r="R8" s="215"/>
      <c r="S8" s="216"/>
      <c r="T8" s="242"/>
      <c r="U8" s="242"/>
      <c r="V8" s="243"/>
      <c r="W8" s="243"/>
      <c r="X8" s="243"/>
      <c r="Y8" s="243"/>
      <c r="Z8" s="243"/>
      <c r="AA8" s="14"/>
      <c r="AB8" s="14"/>
      <c r="AC8" s="14"/>
      <c r="AD8" s="14"/>
      <c r="AE8" s="14"/>
      <c r="AF8" s="14"/>
    </row>
    <row r="9" spans="1:38" s="116" customFormat="1" ht="23.25" customHeight="1">
      <c r="A9" s="14"/>
      <c r="B9" s="14"/>
      <c r="C9" s="14">
        <v>2048523733</v>
      </c>
      <c r="D9" s="14" t="s">
        <v>500</v>
      </c>
      <c r="E9" s="278" t="str">
        <f t="shared" si="0"/>
        <v>https://m.place.naver.com/place/2048523733/home</v>
      </c>
      <c r="F9" s="14"/>
      <c r="G9" s="14"/>
      <c r="H9" s="14"/>
      <c r="I9" s="14">
        <v>100</v>
      </c>
      <c r="J9" s="14"/>
      <c r="K9" s="14"/>
      <c r="L9" s="14"/>
      <c r="M9" s="14"/>
      <c r="N9" s="241"/>
      <c r="O9" s="14"/>
      <c r="P9" s="14"/>
      <c r="Q9" s="242"/>
      <c r="R9" s="215"/>
      <c r="S9" s="216"/>
      <c r="T9" s="242"/>
      <c r="U9" s="242"/>
      <c r="V9" s="243"/>
      <c r="W9" s="243"/>
      <c r="X9" s="243"/>
      <c r="Y9" s="243"/>
      <c r="Z9" s="243"/>
      <c r="AA9" s="244"/>
      <c r="AB9" s="244"/>
      <c r="AC9" s="14"/>
      <c r="AD9" s="14"/>
      <c r="AE9" s="14"/>
      <c r="AF9" s="14"/>
    </row>
    <row r="10" spans="1:38" s="116" customFormat="1" ht="23.25" customHeight="1">
      <c r="A10" s="14"/>
      <c r="B10" s="14"/>
      <c r="C10" s="14">
        <v>2095974921</v>
      </c>
      <c r="D10" s="14" t="s">
        <v>501</v>
      </c>
      <c r="E10" s="278" t="str">
        <f t="shared" si="0"/>
        <v>https://m.place.naver.com/place/2095974921/home</v>
      </c>
      <c r="F10" s="14"/>
      <c r="G10" s="14"/>
      <c r="H10" s="14"/>
      <c r="I10" s="14"/>
      <c r="J10" s="14"/>
      <c r="K10" s="14"/>
      <c r="L10" s="14"/>
      <c r="M10" s="14"/>
      <c r="N10" s="241"/>
      <c r="O10" s="14"/>
      <c r="P10" s="14"/>
      <c r="Q10" s="242"/>
      <c r="R10" s="215"/>
      <c r="S10" s="216"/>
      <c r="T10" s="242"/>
      <c r="U10" s="242"/>
      <c r="V10" s="243"/>
      <c r="W10" s="243"/>
      <c r="X10" s="243"/>
      <c r="Y10" s="243"/>
      <c r="Z10" s="243"/>
      <c r="AA10" s="244"/>
      <c r="AB10" s="244"/>
      <c r="AC10" s="14"/>
      <c r="AD10" s="14"/>
      <c r="AE10" s="14"/>
      <c r="AF10" s="14"/>
    </row>
    <row r="11" spans="1:38" s="116" customFormat="1" ht="23.25" customHeight="1">
      <c r="A11" s="14"/>
      <c r="B11" s="14"/>
      <c r="C11" s="14">
        <v>1761921683</v>
      </c>
      <c r="D11" s="14" t="s">
        <v>502</v>
      </c>
      <c r="E11" s="278" t="str">
        <f t="shared" si="0"/>
        <v>https://m.place.naver.com/place/1761921683/home</v>
      </c>
      <c r="F11" s="14"/>
      <c r="G11" s="14"/>
      <c r="H11" s="14"/>
      <c r="I11" s="14">
        <v>150</v>
      </c>
      <c r="J11" s="14"/>
      <c r="K11" s="14"/>
      <c r="L11" s="14"/>
      <c r="M11" s="14"/>
      <c r="N11" s="241"/>
      <c r="O11" s="14"/>
      <c r="P11" s="14"/>
      <c r="Q11" s="242"/>
      <c r="R11" s="215"/>
      <c r="S11" s="216"/>
      <c r="T11" s="242"/>
      <c r="U11" s="242"/>
      <c r="V11" s="243"/>
      <c r="W11" s="243"/>
      <c r="X11" s="243"/>
      <c r="Y11" s="243"/>
      <c r="Z11" s="243"/>
      <c r="AA11" s="244"/>
      <c r="AB11" s="244"/>
      <c r="AC11" s="14"/>
      <c r="AD11" s="14"/>
      <c r="AE11" s="14"/>
      <c r="AF11" s="14"/>
    </row>
    <row r="12" spans="1:38" s="116" customFormat="1" ht="20.100000000000001" customHeight="1">
      <c r="A12" s="14"/>
      <c r="C12" s="14">
        <v>36399674</v>
      </c>
      <c r="D12" s="14" t="s">
        <v>73</v>
      </c>
      <c r="E12" s="278" t="str">
        <f t="shared" si="0"/>
        <v>https://m.place.naver.com/place/36399674/home</v>
      </c>
      <c r="F12" s="14"/>
      <c r="G12" s="14"/>
      <c r="H12" s="281">
        <v>100</v>
      </c>
      <c r="I12" s="14"/>
      <c r="J12" s="14"/>
      <c r="K12" s="14"/>
      <c r="L12" s="14"/>
      <c r="M12" s="14"/>
      <c r="N12" s="241"/>
      <c r="O12" s="14"/>
      <c r="P12" s="14"/>
      <c r="Q12" s="14"/>
      <c r="R12" s="14"/>
      <c r="S12" s="14"/>
      <c r="T12" s="14"/>
      <c r="U12" s="14"/>
      <c r="V12" s="243"/>
      <c r="W12" s="243"/>
      <c r="X12" s="243"/>
      <c r="Y12" s="243"/>
      <c r="Z12" s="243"/>
      <c r="AA12" s="244"/>
      <c r="AB12" s="244"/>
      <c r="AC12" s="14"/>
      <c r="AD12" s="14"/>
      <c r="AE12" s="14"/>
      <c r="AF12" s="14"/>
    </row>
    <row r="13" spans="1:38" s="4" customFormat="1">
      <c r="A13" s="283"/>
      <c r="B13" s="240"/>
      <c r="C13" s="14">
        <v>1282597447</v>
      </c>
      <c r="D13" s="14" t="s">
        <v>417</v>
      </c>
      <c r="E13" s="278" t="str">
        <f t="shared" si="0"/>
        <v>https://m.place.naver.com/place/1282597447/home</v>
      </c>
      <c r="F13" s="14"/>
      <c r="G13" s="14"/>
      <c r="H13" s="14"/>
      <c r="I13" s="14"/>
      <c r="J13" s="14"/>
      <c r="K13" s="14"/>
      <c r="L13" s="5"/>
      <c r="M13" s="5"/>
      <c r="N13" s="14"/>
      <c r="O13" s="5"/>
      <c r="P13" s="5"/>
      <c r="Q13" s="5"/>
      <c r="R13" s="14"/>
      <c r="S13" s="14"/>
      <c r="T13" s="5"/>
      <c r="U13" s="5"/>
      <c r="V13" s="5"/>
      <c r="W13" s="5"/>
      <c r="X13" s="5"/>
      <c r="Y13" s="5"/>
      <c r="Z13" s="5"/>
      <c r="AA13" s="14"/>
      <c r="AB13" s="14"/>
      <c r="AC13" s="5"/>
      <c r="AD13" s="5"/>
      <c r="AE13" s="14"/>
      <c r="AF13" s="14"/>
      <c r="AG13" s="5"/>
      <c r="AH13" s="5"/>
    </row>
    <row r="14" spans="1:38" s="116" customFormat="1" ht="20.100000000000001" customHeight="1">
      <c r="A14" s="14"/>
      <c r="C14" s="14">
        <v>1108685948</v>
      </c>
      <c r="D14" s="14" t="s">
        <v>415</v>
      </c>
      <c r="E14" s="278" t="str">
        <f t="shared" si="0"/>
        <v>https://m.place.naver.com/place/1108685948/home</v>
      </c>
      <c r="F14" s="14"/>
      <c r="G14" s="14"/>
      <c r="H14" s="14"/>
      <c r="I14" s="14">
        <v>200</v>
      </c>
      <c r="J14" s="14"/>
      <c r="K14" s="14"/>
      <c r="L14" s="14"/>
      <c r="M14" s="14"/>
      <c r="N14" s="241"/>
      <c r="O14" s="14"/>
      <c r="P14" s="14"/>
      <c r="Q14" s="14"/>
      <c r="R14" s="14"/>
      <c r="S14" s="14"/>
      <c r="T14" s="14"/>
      <c r="U14" s="14"/>
      <c r="V14" s="243"/>
      <c r="W14" s="243"/>
      <c r="X14" s="243"/>
      <c r="Y14" s="243"/>
      <c r="Z14" s="243"/>
      <c r="AA14" s="14"/>
      <c r="AB14" s="14"/>
      <c r="AC14" s="14"/>
      <c r="AD14" s="14"/>
      <c r="AE14" s="14"/>
      <c r="AF14" s="14"/>
    </row>
    <row r="15" spans="1:38" s="116" customFormat="1" ht="20.100000000000001" customHeight="1">
      <c r="A15" s="14"/>
      <c r="C15" s="14">
        <v>2022575390</v>
      </c>
      <c r="D15" s="14" t="s">
        <v>413</v>
      </c>
      <c r="E15" s="278" t="str">
        <f t="shared" si="0"/>
        <v>https://m.place.naver.com/place/2022575390/home</v>
      </c>
      <c r="F15" s="14">
        <v>150</v>
      </c>
      <c r="G15" s="14"/>
      <c r="H15" s="14"/>
      <c r="I15" s="14"/>
      <c r="J15" s="14"/>
      <c r="K15" s="14"/>
      <c r="L15" s="14"/>
      <c r="M15" s="14"/>
      <c r="N15" s="241"/>
      <c r="O15" s="14"/>
      <c r="P15" s="14"/>
      <c r="Q15" s="14"/>
      <c r="R15" s="14"/>
      <c r="S15" s="14"/>
      <c r="T15" s="14"/>
      <c r="U15" s="14"/>
      <c r="V15" s="243"/>
      <c r="W15" s="243"/>
      <c r="X15" s="243"/>
      <c r="Y15" s="243"/>
      <c r="Z15" s="243"/>
      <c r="AA15" s="14"/>
      <c r="AB15" s="14"/>
      <c r="AC15" s="14"/>
      <c r="AD15" s="14"/>
      <c r="AE15" s="14"/>
      <c r="AF15" s="14"/>
    </row>
    <row r="16" spans="1:38" s="116" customFormat="1" ht="23.25" customHeight="1">
      <c r="A16" s="14"/>
      <c r="B16" s="14"/>
      <c r="C16" s="14"/>
      <c r="D16" s="14"/>
      <c r="E16" s="278"/>
      <c r="F16" s="14"/>
      <c r="G16" s="14"/>
      <c r="H16" s="14"/>
      <c r="I16" s="14"/>
      <c r="J16" s="14"/>
      <c r="K16" s="14"/>
      <c r="L16" s="14"/>
      <c r="M16" s="14"/>
      <c r="N16" s="241"/>
      <c r="O16" s="14"/>
      <c r="P16" s="14"/>
      <c r="Q16" s="242"/>
      <c r="R16" s="215"/>
      <c r="S16" s="216"/>
      <c r="T16" s="242"/>
      <c r="U16" s="242"/>
      <c r="V16" s="243"/>
      <c r="W16" s="243"/>
      <c r="X16" s="243"/>
      <c r="Y16" s="243"/>
      <c r="Z16" s="243"/>
      <c r="AA16" s="244"/>
      <c r="AB16" s="244"/>
      <c r="AC16" s="14"/>
      <c r="AD16" s="14"/>
      <c r="AE16" s="14"/>
      <c r="AF16" s="14"/>
    </row>
    <row r="17" spans="1:32" s="116" customFormat="1" ht="20.100000000000001" customHeight="1">
      <c r="A17" s="14"/>
      <c r="C17" s="14">
        <v>1768171911</v>
      </c>
      <c r="D17" s="14" t="s">
        <v>411</v>
      </c>
      <c r="E17" s="278" t="str">
        <f t="shared" ref="E17:E28" si="1">"https://m.place.naver.com/place/" &amp;C17 &amp; "/home"</f>
        <v>https://m.place.naver.com/place/1768171911/home</v>
      </c>
      <c r="F17" s="14"/>
      <c r="G17" s="14"/>
      <c r="H17" s="14">
        <v>200</v>
      </c>
      <c r="I17" s="14"/>
      <c r="J17" s="14"/>
      <c r="K17" s="14"/>
      <c r="L17" s="14"/>
      <c r="M17" s="14"/>
      <c r="N17" s="241"/>
      <c r="O17" s="14">
        <v>100</v>
      </c>
      <c r="P17" s="14"/>
      <c r="Q17" s="14"/>
      <c r="R17" s="14"/>
      <c r="S17" s="14"/>
      <c r="T17" s="14"/>
      <c r="U17" s="14"/>
      <c r="V17" s="243"/>
      <c r="W17" s="243"/>
      <c r="X17" s="243"/>
      <c r="Y17" s="243"/>
      <c r="Z17" s="243"/>
      <c r="AA17" s="14"/>
      <c r="AB17" s="14"/>
      <c r="AC17" s="14"/>
      <c r="AD17" s="14"/>
      <c r="AE17" s="14"/>
      <c r="AF17" s="14"/>
    </row>
    <row r="18" spans="1:32" s="116" customFormat="1" ht="20.100000000000001" customHeight="1">
      <c r="A18" s="14"/>
      <c r="C18" s="14"/>
      <c r="D18" s="14" t="s">
        <v>503</v>
      </c>
      <c r="E18" s="278" t="str">
        <f t="shared" si="1"/>
        <v>https://m.place.naver.com/place//home</v>
      </c>
      <c r="F18" s="14"/>
      <c r="G18" s="14"/>
      <c r="H18" s="14">
        <v>200</v>
      </c>
      <c r="I18" s="14"/>
      <c r="J18" s="14"/>
      <c r="K18" s="14"/>
      <c r="L18" s="14"/>
      <c r="M18" s="14"/>
      <c r="N18" s="241"/>
      <c r="O18" s="14">
        <v>100</v>
      </c>
      <c r="P18" s="14"/>
      <c r="Q18" s="14"/>
      <c r="R18" s="14"/>
      <c r="S18" s="14"/>
      <c r="T18" s="14"/>
      <c r="U18" s="14"/>
      <c r="V18" s="243"/>
      <c r="W18" s="243"/>
      <c r="X18" s="243"/>
      <c r="Y18" s="243"/>
      <c r="Z18" s="243"/>
      <c r="AA18" s="244"/>
      <c r="AB18" s="244"/>
      <c r="AC18" s="14"/>
      <c r="AD18" s="14"/>
      <c r="AE18" s="14"/>
      <c r="AF18" s="14"/>
    </row>
    <row r="19" spans="1:32" s="116" customFormat="1" ht="20.100000000000001" customHeight="1">
      <c r="A19" s="14"/>
      <c r="C19" s="14">
        <v>1773775267</v>
      </c>
      <c r="D19" s="14" t="s">
        <v>421</v>
      </c>
      <c r="E19" s="278" t="str">
        <f t="shared" si="1"/>
        <v>https://m.place.naver.com/place/1773775267/home</v>
      </c>
      <c r="F19" s="14"/>
      <c r="G19" s="14">
        <v>200</v>
      </c>
      <c r="H19" s="14"/>
      <c r="I19" s="14"/>
      <c r="J19" s="14"/>
      <c r="K19" s="14"/>
      <c r="L19" s="14"/>
      <c r="M19" s="14"/>
      <c r="N19" s="241"/>
      <c r="O19" s="14">
        <v>100</v>
      </c>
      <c r="P19" s="14"/>
      <c r="Q19" s="14"/>
      <c r="R19" s="14"/>
      <c r="S19" s="14"/>
      <c r="T19" s="14"/>
      <c r="U19" s="14"/>
      <c r="V19" s="243"/>
      <c r="W19" s="243"/>
      <c r="X19" s="243"/>
      <c r="Y19" s="243"/>
      <c r="Z19" s="243"/>
      <c r="AA19" s="14"/>
      <c r="AB19" s="14"/>
      <c r="AC19" s="14"/>
      <c r="AD19" s="14"/>
      <c r="AE19" s="14"/>
      <c r="AF19" s="14"/>
    </row>
    <row r="20" spans="1:32" s="116" customFormat="1" ht="20.100000000000001" customHeight="1">
      <c r="A20" s="14"/>
      <c r="C20" s="14">
        <v>2047453115</v>
      </c>
      <c r="D20" s="14" t="s">
        <v>423</v>
      </c>
      <c r="E20" s="278" t="str">
        <f t="shared" si="1"/>
        <v>https://m.place.naver.com/place/2047453115/home</v>
      </c>
      <c r="F20" s="14"/>
      <c r="G20" s="14"/>
      <c r="H20" s="14"/>
      <c r="I20" s="14"/>
      <c r="J20" s="14"/>
      <c r="K20" s="14"/>
      <c r="L20" s="14"/>
      <c r="M20" s="14"/>
      <c r="N20" s="241"/>
      <c r="O20" s="14"/>
      <c r="P20" s="14"/>
      <c r="Q20" s="14"/>
      <c r="R20" s="14"/>
      <c r="S20" s="14"/>
      <c r="T20" s="14"/>
      <c r="U20" s="14"/>
      <c r="V20" s="243"/>
      <c r="W20" s="243"/>
      <c r="X20" s="243"/>
      <c r="Y20" s="243"/>
      <c r="Z20" s="243"/>
      <c r="AA20" s="14"/>
      <c r="AB20" s="14"/>
      <c r="AC20" s="14"/>
      <c r="AD20" s="14"/>
      <c r="AE20" s="14"/>
      <c r="AF20" s="14"/>
    </row>
    <row r="21" spans="1:32" s="116" customFormat="1" ht="20.100000000000001" customHeight="1">
      <c r="A21" s="14"/>
      <c r="C21" s="14">
        <v>1138528583</v>
      </c>
      <c r="D21" s="14" t="s">
        <v>175</v>
      </c>
      <c r="E21" s="278" t="str">
        <f t="shared" si="1"/>
        <v>https://m.place.naver.com/place/1138528583/home</v>
      </c>
      <c r="F21" s="14"/>
      <c r="G21" s="14">
        <v>800</v>
      </c>
      <c r="H21" s="14"/>
      <c r="I21" s="14"/>
      <c r="J21" s="14"/>
      <c r="K21" s="14"/>
      <c r="L21" s="14"/>
      <c r="M21" s="14"/>
      <c r="N21" s="241"/>
      <c r="O21" s="14"/>
      <c r="P21" s="14">
        <v>200</v>
      </c>
      <c r="Q21" s="14"/>
      <c r="R21" s="14"/>
      <c r="S21" s="14"/>
      <c r="T21" s="14"/>
      <c r="U21" s="14"/>
      <c r="V21" s="243"/>
      <c r="W21" s="243"/>
      <c r="X21" s="243"/>
      <c r="Y21" s="243"/>
      <c r="Z21" s="243"/>
      <c r="AA21" s="14"/>
      <c r="AB21" s="14"/>
      <c r="AC21" s="14"/>
      <c r="AD21" s="14"/>
      <c r="AE21" s="14"/>
      <c r="AF21" s="14"/>
    </row>
    <row r="22" spans="1:32" s="4" customFormat="1" ht="20.100000000000001" customHeight="1">
      <c r="A22" s="14"/>
      <c r="B22" s="116"/>
      <c r="C22" s="14">
        <v>1374995918</v>
      </c>
      <c r="D22" s="14" t="s">
        <v>409</v>
      </c>
      <c r="E22" s="278" t="str">
        <f t="shared" si="1"/>
        <v>https://m.place.naver.com/place/1374995918/home</v>
      </c>
      <c r="F22" s="14"/>
      <c r="G22" s="14"/>
      <c r="H22" s="14">
        <v>300</v>
      </c>
      <c r="I22" s="14"/>
      <c r="J22" s="14"/>
      <c r="K22" s="14"/>
      <c r="L22" s="14"/>
      <c r="M22" s="14"/>
      <c r="N22" s="241"/>
      <c r="O22" s="39"/>
      <c r="P22" s="280">
        <v>50</v>
      </c>
      <c r="Q22" s="14"/>
      <c r="R22" s="14"/>
      <c r="S22" s="14"/>
      <c r="T22" s="5"/>
      <c r="U22" s="5"/>
      <c r="V22" s="243"/>
      <c r="W22" s="243"/>
      <c r="X22" s="243"/>
      <c r="Y22" s="243"/>
      <c r="Z22" s="243"/>
      <c r="AA22" s="14"/>
      <c r="AB22" s="14"/>
      <c r="AC22" s="14"/>
      <c r="AD22" s="14"/>
      <c r="AE22" s="14"/>
      <c r="AF22" s="5"/>
    </row>
    <row r="23" spans="1:32" s="116" customFormat="1" ht="20.100000000000001" customHeight="1">
      <c r="A23" s="14"/>
      <c r="C23" s="14">
        <v>1382904718</v>
      </c>
      <c r="D23" s="14" t="s">
        <v>403</v>
      </c>
      <c r="E23" s="278" t="str">
        <f t="shared" si="1"/>
        <v>https://m.place.naver.com/place/1382904718/home</v>
      </c>
      <c r="F23" s="14">
        <v>200</v>
      </c>
      <c r="G23" s="14"/>
      <c r="H23" s="14"/>
      <c r="I23" s="14"/>
      <c r="J23" s="14"/>
      <c r="K23" s="14"/>
      <c r="L23" s="14"/>
      <c r="M23" s="14"/>
      <c r="N23" s="241"/>
      <c r="O23" s="14"/>
      <c r="P23" s="14"/>
      <c r="Q23" s="14"/>
      <c r="R23" s="14"/>
      <c r="S23" s="14"/>
      <c r="T23" s="14"/>
      <c r="U23" s="14"/>
      <c r="V23" s="243"/>
      <c r="W23" s="243"/>
      <c r="X23" s="243"/>
      <c r="Y23" s="243"/>
      <c r="Z23" s="243"/>
      <c r="AA23" s="14"/>
      <c r="AB23" s="14"/>
      <c r="AC23" s="14"/>
      <c r="AD23" s="14"/>
      <c r="AE23" s="14"/>
      <c r="AF23" s="14"/>
    </row>
    <row r="24" spans="1:32" s="116" customFormat="1" ht="20.100000000000001" customHeight="1">
      <c r="A24" s="14"/>
      <c r="C24" s="14">
        <v>1024294111</v>
      </c>
      <c r="D24" s="14" t="s">
        <v>407</v>
      </c>
      <c r="E24" s="278" t="str">
        <f t="shared" si="1"/>
        <v>https://m.place.naver.com/place/1024294111/home</v>
      </c>
      <c r="F24" s="14">
        <v>150</v>
      </c>
      <c r="G24" s="14"/>
      <c r="H24" s="14"/>
      <c r="I24" s="14"/>
      <c r="J24" s="14"/>
      <c r="K24" s="14"/>
      <c r="L24" s="14"/>
      <c r="M24" s="14"/>
      <c r="N24" s="241"/>
      <c r="O24" s="14"/>
      <c r="P24" s="14"/>
      <c r="Q24" s="14"/>
      <c r="R24" s="14"/>
      <c r="S24" s="14"/>
      <c r="T24" s="14"/>
      <c r="U24" s="14"/>
      <c r="V24" s="243"/>
      <c r="W24" s="243"/>
      <c r="X24" s="243"/>
      <c r="Y24" s="243"/>
      <c r="Z24" s="243"/>
      <c r="AA24" s="14"/>
      <c r="AB24" s="14"/>
      <c r="AC24" s="14"/>
      <c r="AD24" s="14"/>
      <c r="AE24" s="14"/>
      <c r="AF24" s="14"/>
    </row>
    <row r="25" spans="1:32" s="116" customFormat="1" ht="20.100000000000001" customHeight="1">
      <c r="A25" s="14"/>
      <c r="C25" s="14">
        <v>2044480569</v>
      </c>
      <c r="D25" s="14" t="s">
        <v>405</v>
      </c>
      <c r="E25" s="278" t="str">
        <f t="shared" si="1"/>
        <v>https://m.place.naver.com/place/2044480569/home</v>
      </c>
      <c r="F25" s="14">
        <v>200</v>
      </c>
      <c r="G25" s="14"/>
      <c r="H25" s="14"/>
      <c r="I25" s="14"/>
      <c r="J25" s="14"/>
      <c r="K25" s="14"/>
      <c r="L25" s="14"/>
      <c r="M25" s="14"/>
      <c r="N25" s="241"/>
      <c r="O25" s="14"/>
      <c r="P25" s="14"/>
      <c r="Q25" s="14"/>
      <c r="R25" s="14"/>
      <c r="S25" s="14"/>
      <c r="T25" s="14"/>
      <c r="U25" s="14"/>
      <c r="V25" s="243"/>
      <c r="W25" s="243"/>
      <c r="X25" s="243"/>
      <c r="Y25" s="243"/>
      <c r="Z25" s="243"/>
      <c r="AA25" s="4"/>
      <c r="AB25" s="245"/>
      <c r="AC25" s="14"/>
      <c r="AD25" s="14"/>
      <c r="AE25" s="14"/>
      <c r="AF25" s="14"/>
    </row>
    <row r="26" spans="1:32" s="116" customFormat="1" ht="20.100000000000001" customHeight="1">
      <c r="A26" s="14"/>
      <c r="C26" s="14">
        <v>1012331030</v>
      </c>
      <c r="D26" s="14" t="s">
        <v>444</v>
      </c>
      <c r="E26" s="278" t="str">
        <f t="shared" si="1"/>
        <v>https://m.place.naver.com/place/1012331030/home</v>
      </c>
      <c r="F26" s="14">
        <v>100</v>
      </c>
      <c r="G26" s="14"/>
      <c r="H26" s="14"/>
      <c r="I26" s="14"/>
      <c r="J26" s="14"/>
      <c r="K26" s="14"/>
      <c r="L26" s="14"/>
      <c r="M26" s="14"/>
      <c r="N26" s="241"/>
      <c r="O26" s="14"/>
      <c r="P26" s="14"/>
      <c r="Q26" s="14"/>
      <c r="R26" s="14"/>
      <c r="S26" s="14"/>
      <c r="T26" s="14"/>
      <c r="U26" s="14"/>
      <c r="V26" s="243"/>
      <c r="W26" s="243"/>
      <c r="X26" s="243"/>
      <c r="Y26" s="243"/>
      <c r="Z26" s="243"/>
      <c r="AA26" s="14"/>
      <c r="AB26" s="246"/>
      <c r="AC26" s="14"/>
      <c r="AD26" s="14"/>
      <c r="AE26" s="14"/>
      <c r="AF26" s="14"/>
    </row>
    <row r="27" spans="1:32" s="116" customFormat="1" ht="20.100000000000001" customHeight="1">
      <c r="A27" s="14"/>
      <c r="C27" s="14">
        <v>1409613427</v>
      </c>
      <c r="D27" s="14" t="s">
        <v>185</v>
      </c>
      <c r="E27" s="278" t="str">
        <f t="shared" si="1"/>
        <v>https://m.place.naver.com/place/1409613427/home</v>
      </c>
      <c r="F27" s="14"/>
      <c r="G27" s="14"/>
      <c r="H27" s="14">
        <v>150</v>
      </c>
      <c r="I27" s="14"/>
      <c r="J27" s="14"/>
      <c r="K27" s="14"/>
      <c r="L27" s="14"/>
      <c r="M27" s="14"/>
      <c r="N27" s="241"/>
      <c r="O27" s="14"/>
      <c r="P27" s="14"/>
      <c r="Q27" s="14"/>
      <c r="R27" s="14"/>
      <c r="S27" s="14"/>
      <c r="T27" s="14"/>
      <c r="U27" s="14"/>
      <c r="V27" s="243"/>
      <c r="W27" s="243"/>
      <c r="X27" s="243"/>
      <c r="Y27" s="243"/>
      <c r="Z27" s="243"/>
      <c r="AA27" s="14"/>
      <c r="AB27" s="14"/>
      <c r="AC27" s="14"/>
      <c r="AD27" s="14"/>
      <c r="AE27" s="14"/>
      <c r="AF27" s="14"/>
    </row>
    <row r="28" spans="1:32" s="116" customFormat="1" ht="20.100000000000001" customHeight="1">
      <c r="A28" s="14"/>
      <c r="C28" s="14">
        <v>36073217</v>
      </c>
      <c r="D28" s="14" t="s">
        <v>400</v>
      </c>
      <c r="E28" s="278" t="str">
        <f t="shared" si="1"/>
        <v>https://m.place.naver.com/place/36073217/home</v>
      </c>
      <c r="F28" s="14"/>
      <c r="G28" s="14"/>
      <c r="H28" s="14">
        <v>300</v>
      </c>
      <c r="I28" s="14"/>
      <c r="J28" s="14"/>
      <c r="K28" s="14"/>
      <c r="L28" s="14"/>
      <c r="M28" s="14"/>
      <c r="N28" s="241"/>
      <c r="O28" s="14"/>
      <c r="P28" s="14"/>
      <c r="Q28" s="14"/>
      <c r="R28" s="14"/>
      <c r="S28" s="14"/>
      <c r="T28" s="14"/>
      <c r="U28" s="14"/>
      <c r="V28" s="243"/>
      <c r="W28" s="243"/>
      <c r="X28" s="243"/>
      <c r="Y28" s="243"/>
      <c r="Z28" s="243"/>
      <c r="AA28" s="14"/>
      <c r="AB28" s="14"/>
      <c r="AC28" s="14"/>
      <c r="AD28" s="14"/>
      <c r="AE28" s="14"/>
      <c r="AF28" s="14"/>
    </row>
    <row r="29" spans="1:32" s="116" customFormat="1" ht="20.100000000000001" customHeight="1">
      <c r="A29" s="14"/>
      <c r="C29" s="14"/>
      <c r="D29" s="14"/>
      <c r="E29" s="278"/>
      <c r="F29" s="14"/>
      <c r="G29" s="14"/>
      <c r="H29" s="14"/>
      <c r="I29" s="14"/>
      <c r="J29" s="14"/>
      <c r="K29" s="14"/>
      <c r="L29" s="14"/>
      <c r="M29" s="14"/>
      <c r="N29" s="241"/>
      <c r="O29" s="14"/>
      <c r="P29" s="14"/>
      <c r="Q29" s="14"/>
      <c r="R29" s="14"/>
      <c r="S29" s="14"/>
      <c r="T29" s="14"/>
      <c r="U29" s="14"/>
      <c r="V29" s="243"/>
      <c r="W29" s="243"/>
      <c r="X29" s="243"/>
      <c r="Y29" s="243"/>
      <c r="Z29" s="243"/>
      <c r="AA29" s="244"/>
      <c r="AB29" s="244"/>
      <c r="AC29" s="14"/>
      <c r="AD29" s="14"/>
      <c r="AE29" s="14"/>
      <c r="AF29" s="14"/>
    </row>
    <row r="30" spans="1:32" s="271" customFormat="1" ht="20.100000000000001" customHeight="1">
      <c r="A30" s="272"/>
      <c r="C30" s="272"/>
      <c r="D30" s="272"/>
      <c r="E30" s="279"/>
      <c r="F30" s="272"/>
      <c r="G30" s="272"/>
      <c r="H30" s="272"/>
      <c r="I30" s="272"/>
      <c r="J30" s="272"/>
      <c r="K30" s="272"/>
      <c r="L30" s="272"/>
      <c r="M30" s="272"/>
      <c r="N30" s="273"/>
      <c r="O30" s="272"/>
      <c r="P30" s="272"/>
      <c r="Q30" s="272"/>
      <c r="R30" s="272"/>
      <c r="S30" s="272"/>
      <c r="T30" s="272"/>
      <c r="U30" s="272"/>
      <c r="V30" s="274"/>
      <c r="W30" s="274"/>
      <c r="X30" s="274"/>
      <c r="Y30" s="274"/>
      <c r="Z30" s="274"/>
      <c r="AA30" s="272"/>
      <c r="AB30" s="272"/>
      <c r="AC30" s="272"/>
      <c r="AD30" s="272"/>
      <c r="AE30" s="272"/>
      <c r="AF30" s="272"/>
    </row>
    <row r="31" spans="1:32" s="116" customFormat="1" ht="20.100000000000001" customHeight="1">
      <c r="A31" s="14"/>
      <c r="C31" s="14"/>
      <c r="D31" s="14"/>
      <c r="E31" s="282"/>
      <c r="F31" s="14"/>
      <c r="G31" s="14"/>
      <c r="H31" s="14"/>
      <c r="I31" s="14"/>
      <c r="J31" s="14"/>
      <c r="K31" s="14"/>
      <c r="L31" s="14"/>
      <c r="M31" s="14"/>
      <c r="N31" s="241"/>
      <c r="O31" s="14"/>
      <c r="P31" s="14"/>
      <c r="Q31" s="14"/>
      <c r="R31" s="14"/>
      <c r="S31" s="14"/>
      <c r="T31" s="14"/>
      <c r="U31" s="14"/>
      <c r="V31" s="243"/>
      <c r="W31" s="243"/>
      <c r="X31" s="243"/>
      <c r="Y31" s="243"/>
      <c r="Z31" s="243"/>
      <c r="AA31" s="14"/>
      <c r="AB31" s="14"/>
      <c r="AC31" s="14"/>
      <c r="AD31" s="14"/>
      <c r="AE31" s="14"/>
      <c r="AF31" s="14"/>
    </row>
    <row r="32" spans="1:32" s="116" customFormat="1" ht="20.100000000000001" customHeight="1">
      <c r="A32" s="14" t="s">
        <v>525</v>
      </c>
      <c r="B32" s="284">
        <v>45989</v>
      </c>
      <c r="C32" s="14">
        <v>1091056146</v>
      </c>
      <c r="D32" s="14" t="s">
        <v>515</v>
      </c>
      <c r="E32" s="282" t="s">
        <v>552</v>
      </c>
      <c r="F32" s="14">
        <v>200</v>
      </c>
      <c r="G32" s="14"/>
      <c r="H32" s="14"/>
      <c r="I32" s="14"/>
      <c r="J32" s="14"/>
      <c r="K32" s="14"/>
      <c r="L32" s="14"/>
      <c r="M32" s="14"/>
      <c r="N32" s="241"/>
      <c r="O32" s="14">
        <v>100</v>
      </c>
      <c r="P32" s="14"/>
      <c r="Q32" s="14"/>
      <c r="R32" s="14"/>
      <c r="S32" s="14"/>
      <c r="T32" s="14"/>
      <c r="U32" s="14"/>
      <c r="V32" s="243"/>
      <c r="W32" s="243"/>
      <c r="X32" s="243"/>
      <c r="Y32" s="243"/>
      <c r="Z32" s="243"/>
      <c r="AA32" s="14"/>
      <c r="AB32" s="14"/>
      <c r="AC32" s="14"/>
      <c r="AD32" s="14"/>
      <c r="AE32" s="14"/>
      <c r="AF32" s="14"/>
    </row>
    <row r="33" spans="1:32" s="116" customFormat="1" ht="20.100000000000001" customHeight="1">
      <c r="A33" s="14"/>
      <c r="C33" s="14">
        <v>36536114</v>
      </c>
      <c r="D33" s="14" t="s">
        <v>517</v>
      </c>
      <c r="E33" s="282" t="s">
        <v>526</v>
      </c>
      <c r="F33" s="14"/>
      <c r="G33" s="14"/>
      <c r="H33" s="14">
        <v>200</v>
      </c>
      <c r="I33" s="14"/>
      <c r="J33" s="14"/>
      <c r="K33" s="14"/>
      <c r="L33" s="14"/>
      <c r="M33" s="14"/>
      <c r="N33" s="241"/>
      <c r="O33" s="14">
        <v>100</v>
      </c>
      <c r="P33" s="14"/>
      <c r="Q33" s="14"/>
      <c r="R33" s="14"/>
      <c r="S33" s="14"/>
      <c r="T33" s="14"/>
      <c r="U33" s="14"/>
      <c r="V33" s="243"/>
      <c r="W33" s="243"/>
      <c r="X33" s="243"/>
      <c r="Y33" s="243"/>
      <c r="Z33" s="243"/>
      <c r="AA33" s="14"/>
      <c r="AB33" s="14"/>
      <c r="AC33" s="14"/>
      <c r="AD33" s="14"/>
      <c r="AE33" s="14"/>
      <c r="AF33" s="14"/>
    </row>
    <row r="34" spans="1:32" s="116" customFormat="1" ht="20.100000000000001" customHeight="1">
      <c r="A34" s="14"/>
      <c r="C34" s="14">
        <v>1029063503</v>
      </c>
      <c r="D34" s="14" t="s">
        <v>516</v>
      </c>
      <c r="E34" s="282" t="s">
        <v>527</v>
      </c>
      <c r="F34" s="14"/>
      <c r="G34" s="14"/>
      <c r="H34" s="14">
        <v>300</v>
      </c>
      <c r="I34" s="14"/>
      <c r="J34" s="14"/>
      <c r="K34" s="14"/>
      <c r="L34" s="14"/>
      <c r="M34" s="14"/>
      <c r="N34" s="241"/>
      <c r="O34" s="14">
        <v>100</v>
      </c>
      <c r="P34" s="14"/>
      <c r="Q34" s="14"/>
      <c r="R34" s="14"/>
      <c r="S34" s="14"/>
      <c r="T34" s="14"/>
      <c r="U34" s="14"/>
      <c r="V34" s="243"/>
      <c r="W34" s="243"/>
      <c r="X34" s="243"/>
      <c r="Y34" s="243"/>
      <c r="Z34" s="243"/>
      <c r="AA34" s="14"/>
      <c r="AB34" s="14"/>
      <c r="AC34" s="14"/>
      <c r="AD34" s="14"/>
      <c r="AE34" s="14"/>
      <c r="AF34" s="14"/>
    </row>
    <row r="35" spans="1:32" s="116" customFormat="1" ht="20.100000000000001" customHeight="1">
      <c r="A35" s="14"/>
      <c r="C35" s="14">
        <v>1814512864</v>
      </c>
      <c r="D35" s="14" t="s">
        <v>514</v>
      </c>
      <c r="E35" s="282"/>
      <c r="F35" s="14"/>
      <c r="G35" s="14">
        <v>100</v>
      </c>
      <c r="H35" s="14"/>
      <c r="I35" s="14"/>
      <c r="J35" s="14"/>
      <c r="K35" s="14"/>
      <c r="L35" s="14"/>
      <c r="M35" s="14"/>
      <c r="N35" s="241"/>
      <c r="O35" s="14">
        <v>50</v>
      </c>
      <c r="P35" s="14"/>
      <c r="Q35" s="14"/>
      <c r="R35" s="14"/>
      <c r="S35" s="14"/>
      <c r="T35" s="14"/>
      <c r="U35" s="14"/>
      <c r="V35" s="243"/>
      <c r="W35" s="243"/>
      <c r="X35" s="243"/>
      <c r="Y35" s="243"/>
      <c r="Z35" s="243"/>
      <c r="AA35" s="14"/>
      <c r="AB35" s="14"/>
      <c r="AC35" s="14"/>
      <c r="AD35" s="14"/>
      <c r="AE35" s="14"/>
      <c r="AF35" s="14"/>
    </row>
    <row r="36" spans="1:32" s="116" customFormat="1" ht="20.100000000000001" customHeight="1">
      <c r="A36" s="14"/>
      <c r="C36" s="14">
        <v>1864889927</v>
      </c>
      <c r="D36" s="14" t="s">
        <v>513</v>
      </c>
      <c r="E36" s="282"/>
      <c r="F36" s="14"/>
      <c r="G36" s="14">
        <v>100</v>
      </c>
      <c r="H36" s="14"/>
      <c r="I36" s="14"/>
      <c r="J36" s="14"/>
      <c r="K36" s="14"/>
      <c r="L36" s="14"/>
      <c r="M36" s="14"/>
      <c r="N36" s="241"/>
      <c r="O36" s="14">
        <v>50</v>
      </c>
      <c r="P36" s="14"/>
      <c r="Q36" s="14"/>
      <c r="R36" s="14"/>
      <c r="S36" s="14"/>
      <c r="T36" s="14"/>
      <c r="U36" s="14"/>
      <c r="V36" s="243"/>
      <c r="W36" s="243"/>
      <c r="X36" s="243"/>
      <c r="Y36" s="243"/>
      <c r="Z36" s="243"/>
      <c r="AA36" s="14"/>
      <c r="AB36" s="14"/>
      <c r="AC36" s="14"/>
      <c r="AD36" s="14"/>
      <c r="AE36" s="14"/>
      <c r="AF36" s="14"/>
    </row>
    <row r="37" spans="1:32" s="116" customFormat="1" ht="20.100000000000001" customHeight="1">
      <c r="A37" s="14"/>
      <c r="C37" s="14"/>
      <c r="D37" s="14"/>
      <c r="E37" s="282"/>
      <c r="F37" s="14"/>
      <c r="G37" s="14"/>
      <c r="H37" s="14"/>
      <c r="I37" s="14"/>
      <c r="J37" s="14"/>
      <c r="K37" s="14"/>
      <c r="L37" s="14"/>
      <c r="M37" s="14"/>
      <c r="N37" s="241"/>
      <c r="O37" s="14"/>
      <c r="P37" s="14"/>
      <c r="Q37" s="14"/>
      <c r="R37" s="14"/>
      <c r="S37" s="14"/>
      <c r="T37" s="14"/>
      <c r="U37" s="14"/>
      <c r="V37" s="243"/>
      <c r="W37" s="243"/>
      <c r="X37" s="243"/>
      <c r="Y37" s="243"/>
      <c r="Z37" s="243"/>
      <c r="AA37" s="14"/>
      <c r="AB37" s="14"/>
      <c r="AC37" s="14"/>
      <c r="AD37" s="14"/>
      <c r="AE37" s="14"/>
      <c r="AF37" s="14"/>
    </row>
    <row r="38" spans="1:32" s="116" customFormat="1" ht="20.100000000000001" customHeight="1">
      <c r="A38" s="14"/>
      <c r="C38" s="14">
        <v>1848049619</v>
      </c>
      <c r="D38" s="14" t="s">
        <v>36</v>
      </c>
      <c r="E38" s="282"/>
      <c r="F38" s="14"/>
      <c r="G38" s="14">
        <v>200</v>
      </c>
      <c r="H38" s="14"/>
      <c r="I38" s="14"/>
      <c r="J38" s="14"/>
      <c r="K38" s="14"/>
      <c r="L38" s="14"/>
      <c r="M38" s="14"/>
      <c r="N38" s="241"/>
      <c r="O38" s="14"/>
      <c r="P38" s="14">
        <v>100</v>
      </c>
      <c r="Q38" s="14"/>
      <c r="R38" s="14"/>
      <c r="S38" s="14"/>
      <c r="T38" s="14"/>
      <c r="U38" s="14"/>
      <c r="V38" s="243"/>
      <c r="W38" s="243"/>
      <c r="X38" s="243"/>
      <c r="Y38" s="243"/>
      <c r="Z38" s="243"/>
      <c r="AA38" s="14"/>
      <c r="AB38" s="14"/>
      <c r="AC38" s="14"/>
      <c r="AD38" s="14"/>
      <c r="AE38" s="14"/>
      <c r="AF38" s="14"/>
    </row>
    <row r="39" spans="1:32" s="116" customFormat="1" ht="20.100000000000001" customHeight="1">
      <c r="A39" s="14"/>
      <c r="C39" s="14">
        <v>1165597556</v>
      </c>
      <c r="D39" s="14" t="s">
        <v>37</v>
      </c>
      <c r="E39" s="282" t="s">
        <v>520</v>
      </c>
      <c r="F39" s="14"/>
      <c r="G39" s="14"/>
      <c r="H39" s="14">
        <v>300</v>
      </c>
      <c r="I39" s="14"/>
      <c r="J39" s="14"/>
      <c r="K39" s="14"/>
      <c r="L39" s="14"/>
      <c r="M39" s="14"/>
      <c r="N39" s="241"/>
      <c r="O39" s="14">
        <v>100</v>
      </c>
      <c r="P39" s="14"/>
      <c r="Q39" s="14"/>
      <c r="R39" s="14"/>
      <c r="S39" s="14"/>
      <c r="T39" s="14"/>
      <c r="U39" s="14"/>
      <c r="V39" s="243"/>
      <c r="W39" s="243"/>
      <c r="X39" s="243"/>
      <c r="Y39" s="243"/>
      <c r="Z39" s="243"/>
      <c r="AA39" s="14"/>
      <c r="AB39" s="14"/>
      <c r="AC39" s="14"/>
      <c r="AD39" s="14"/>
      <c r="AE39" s="14"/>
      <c r="AF39" s="14"/>
    </row>
    <row r="40" spans="1:32" s="116" customFormat="1" ht="20.100000000000001" customHeight="1">
      <c r="A40" s="14"/>
      <c r="C40" s="14">
        <v>267802526</v>
      </c>
      <c r="D40" s="14" t="s">
        <v>171</v>
      </c>
      <c r="E40" s="282" t="s">
        <v>521</v>
      </c>
      <c r="F40" s="14"/>
      <c r="G40" s="14"/>
      <c r="H40" s="14">
        <v>300</v>
      </c>
      <c r="I40" s="14"/>
      <c r="J40" s="14"/>
      <c r="K40" s="14"/>
      <c r="L40" s="14"/>
      <c r="M40" s="14"/>
      <c r="N40" s="241"/>
      <c r="O40" s="14">
        <v>200</v>
      </c>
      <c r="P40" s="14"/>
      <c r="Q40" s="14"/>
      <c r="R40" s="14"/>
      <c r="S40" s="14"/>
      <c r="T40" s="14"/>
      <c r="U40" s="14"/>
      <c r="V40" s="243"/>
      <c r="W40" s="243"/>
      <c r="X40" s="243"/>
      <c r="Y40" s="243"/>
      <c r="Z40" s="243"/>
      <c r="AA40" s="14"/>
      <c r="AB40" s="14"/>
      <c r="AC40" s="14"/>
      <c r="AD40" s="14"/>
      <c r="AE40" s="14"/>
      <c r="AF40" s="14"/>
    </row>
    <row r="41" spans="1:32" s="116" customFormat="1" ht="20.100000000000001" customHeight="1">
      <c r="A41" s="14"/>
      <c r="C41" s="14">
        <v>1575722042</v>
      </c>
      <c r="D41" s="14" t="s">
        <v>522</v>
      </c>
      <c r="E41" s="282" t="s">
        <v>523</v>
      </c>
      <c r="F41" s="14"/>
      <c r="G41" s="14"/>
      <c r="H41" s="14">
        <v>300</v>
      </c>
      <c r="I41" s="14"/>
      <c r="J41" s="14"/>
      <c r="K41" s="14"/>
      <c r="L41" s="14"/>
      <c r="M41" s="14"/>
      <c r="N41" s="241"/>
      <c r="O41" s="14">
        <v>100</v>
      </c>
      <c r="P41" s="14"/>
      <c r="Q41" s="14"/>
      <c r="R41" s="14"/>
      <c r="S41" s="14"/>
      <c r="T41" s="14"/>
      <c r="U41" s="14"/>
      <c r="V41" s="243"/>
      <c r="W41" s="243"/>
      <c r="X41" s="243"/>
      <c r="Y41" s="243"/>
      <c r="Z41" s="243"/>
      <c r="AA41" s="14"/>
      <c r="AB41" s="14"/>
      <c r="AC41" s="14"/>
      <c r="AD41" s="14"/>
      <c r="AE41" s="14"/>
      <c r="AF41" s="14"/>
    </row>
    <row r="42" spans="1:32" s="116" customFormat="1" ht="20.100000000000001" customHeight="1">
      <c r="A42" s="14"/>
      <c r="C42" s="14"/>
      <c r="D42" s="14"/>
      <c r="E42" s="282"/>
      <c r="F42" s="14"/>
      <c r="G42" s="14"/>
      <c r="H42" s="14"/>
      <c r="I42" s="14"/>
      <c r="J42" s="14"/>
      <c r="K42" s="14"/>
      <c r="L42" s="14"/>
      <c r="M42" s="14"/>
      <c r="N42" s="241"/>
      <c r="O42" s="14"/>
      <c r="P42" s="14"/>
      <c r="Q42" s="14"/>
      <c r="R42" s="14"/>
      <c r="S42" s="14"/>
      <c r="T42" s="14"/>
      <c r="U42" s="14"/>
      <c r="V42" s="243"/>
      <c r="W42" s="243"/>
      <c r="X42" s="243"/>
      <c r="Y42" s="243"/>
      <c r="Z42" s="243"/>
      <c r="AA42" s="14"/>
      <c r="AB42" s="14"/>
      <c r="AC42" s="14"/>
      <c r="AD42" s="14"/>
      <c r="AE42" s="14"/>
      <c r="AF42" s="14"/>
    </row>
    <row r="43" spans="1:32" s="116" customFormat="1" ht="20.100000000000001" customHeight="1">
      <c r="A43" s="14"/>
      <c r="C43" s="14"/>
      <c r="D43" s="14"/>
      <c r="E43" s="282"/>
      <c r="F43" s="14"/>
      <c r="G43" s="14"/>
      <c r="H43" s="14"/>
      <c r="I43" s="14"/>
      <c r="J43" s="14"/>
      <c r="K43" s="14"/>
      <c r="L43" s="14"/>
      <c r="M43" s="14"/>
      <c r="N43" s="241"/>
      <c r="O43" s="14"/>
      <c r="P43" s="14"/>
      <c r="Q43" s="14"/>
      <c r="R43" s="14"/>
      <c r="S43" s="14"/>
      <c r="T43" s="14"/>
      <c r="U43" s="14"/>
      <c r="V43" s="243"/>
      <c r="W43" s="243"/>
      <c r="X43" s="243"/>
      <c r="Y43" s="243"/>
      <c r="Z43" s="243"/>
      <c r="AA43" s="14"/>
      <c r="AB43" s="14"/>
      <c r="AC43" s="14"/>
      <c r="AD43" s="14"/>
      <c r="AE43" s="14"/>
      <c r="AF43" s="14"/>
    </row>
    <row r="44" spans="1:32" s="116" customFormat="1" ht="20.100000000000001" customHeight="1">
      <c r="A44" s="14"/>
      <c r="C44" s="14">
        <v>1642603227</v>
      </c>
      <c r="D44" s="14" t="s">
        <v>211</v>
      </c>
      <c r="E44" s="282" t="s">
        <v>532</v>
      </c>
      <c r="F44" s="14">
        <v>300</v>
      </c>
      <c r="G44" s="14"/>
      <c r="H44" s="14"/>
      <c r="I44" s="14"/>
      <c r="J44" s="14"/>
      <c r="K44" s="14"/>
      <c r="L44" s="14"/>
      <c r="M44" s="14"/>
      <c r="N44" s="241"/>
      <c r="O44" s="14"/>
      <c r="P44" s="14"/>
      <c r="Q44" s="14"/>
      <c r="R44" s="14">
        <v>7</v>
      </c>
      <c r="S44" s="14"/>
      <c r="T44" s="14"/>
      <c r="U44" s="14"/>
      <c r="V44" s="243"/>
      <c r="W44" s="243"/>
      <c r="X44" s="243"/>
      <c r="Y44" s="243"/>
      <c r="Z44" s="243"/>
      <c r="AA44" s="14"/>
      <c r="AB44" s="14"/>
      <c r="AC44" s="14"/>
      <c r="AD44" s="14"/>
      <c r="AE44" s="14"/>
      <c r="AF44" s="14"/>
    </row>
    <row r="45" spans="1:32" s="116" customFormat="1" ht="20.100000000000001" customHeight="1">
      <c r="A45" s="14"/>
      <c r="C45" s="14">
        <v>1022013892</v>
      </c>
      <c r="D45" s="14" t="s">
        <v>554</v>
      </c>
      <c r="E45" s="282" t="s">
        <v>381</v>
      </c>
      <c r="F45" s="14">
        <v>200</v>
      </c>
      <c r="G45" s="14"/>
      <c r="H45" s="14"/>
      <c r="I45" s="14"/>
      <c r="J45" s="14"/>
      <c r="K45" s="14"/>
      <c r="L45" s="14"/>
      <c r="M45" s="14"/>
      <c r="N45" s="241"/>
      <c r="O45" s="14">
        <v>100</v>
      </c>
      <c r="P45" s="14"/>
      <c r="Q45" s="14"/>
      <c r="R45" s="14">
        <v>5</v>
      </c>
      <c r="S45" s="14"/>
      <c r="T45" s="14"/>
      <c r="U45" s="14"/>
      <c r="V45" s="243"/>
      <c r="W45" s="243"/>
      <c r="X45" s="243"/>
      <c r="Y45" s="243"/>
      <c r="Z45" s="243"/>
      <c r="AA45" s="14"/>
      <c r="AB45" s="14"/>
      <c r="AC45" s="14"/>
      <c r="AD45" s="14"/>
      <c r="AE45" s="14"/>
      <c r="AF45" s="14"/>
    </row>
    <row r="46" spans="1:32" s="116" customFormat="1" ht="20.100000000000001" customHeight="1">
      <c r="A46" s="14"/>
      <c r="C46" s="14">
        <v>1287821286</v>
      </c>
      <c r="D46" s="14" t="s">
        <v>555</v>
      </c>
      <c r="E46" s="282" t="s">
        <v>265</v>
      </c>
      <c r="F46" s="14">
        <v>200</v>
      </c>
      <c r="G46" s="14"/>
      <c r="H46" s="14"/>
      <c r="I46" s="14"/>
      <c r="J46" s="14"/>
      <c r="K46" s="14"/>
      <c r="L46" s="14"/>
      <c r="M46" s="14"/>
      <c r="N46" s="241"/>
      <c r="O46" s="14">
        <v>100</v>
      </c>
      <c r="P46" s="14"/>
      <c r="Q46" s="14"/>
      <c r="R46" s="14">
        <v>5</v>
      </c>
      <c r="S46" s="14"/>
      <c r="T46" s="14"/>
      <c r="U46" s="14"/>
      <c r="V46" s="243"/>
      <c r="W46" s="243"/>
      <c r="X46" s="243"/>
      <c r="Y46" s="243"/>
      <c r="Z46" s="243"/>
      <c r="AA46" s="14"/>
      <c r="AB46" s="14"/>
      <c r="AC46" s="14"/>
      <c r="AD46" s="14"/>
      <c r="AE46" s="14"/>
      <c r="AF46" s="14"/>
    </row>
    <row r="47" spans="1:32" s="116" customFormat="1" ht="20.100000000000001" customHeight="1">
      <c r="A47" s="14"/>
      <c r="C47" s="14">
        <v>1421207239</v>
      </c>
      <c r="D47" s="14" t="s">
        <v>556</v>
      </c>
      <c r="E47" s="282" t="s">
        <v>385</v>
      </c>
      <c r="F47" s="14">
        <v>200</v>
      </c>
      <c r="G47" s="14"/>
      <c r="H47" s="14"/>
      <c r="I47" s="14"/>
      <c r="J47" s="14"/>
      <c r="K47" s="14"/>
      <c r="L47" s="14"/>
      <c r="M47" s="14"/>
      <c r="N47" s="241"/>
      <c r="O47" s="14"/>
      <c r="P47" s="14"/>
      <c r="Q47" s="14"/>
      <c r="R47" s="14">
        <v>5</v>
      </c>
      <c r="S47" s="14"/>
      <c r="T47" s="14"/>
      <c r="U47" s="14"/>
      <c r="V47" s="243"/>
      <c r="W47" s="243"/>
      <c r="X47" s="243"/>
      <c r="Y47" s="243"/>
      <c r="Z47" s="243"/>
      <c r="AA47" s="14"/>
      <c r="AB47" s="14"/>
      <c r="AC47" s="14"/>
      <c r="AD47" s="14"/>
      <c r="AE47" s="14"/>
      <c r="AF47" s="14"/>
    </row>
    <row r="48" spans="1:32" s="116" customFormat="1" ht="20.100000000000001" customHeight="1">
      <c r="A48" s="14"/>
      <c r="C48" s="14">
        <v>1683089915</v>
      </c>
      <c r="D48" s="14" t="s">
        <v>557</v>
      </c>
      <c r="E48" s="282" t="s">
        <v>387</v>
      </c>
      <c r="F48" s="14">
        <v>200</v>
      </c>
      <c r="G48" s="14"/>
      <c r="H48" s="14"/>
      <c r="I48" s="14"/>
      <c r="J48" s="14"/>
      <c r="K48" s="14"/>
      <c r="L48" s="14"/>
      <c r="M48" s="14"/>
      <c r="N48" s="241"/>
      <c r="O48" s="14"/>
      <c r="P48" s="14"/>
      <c r="Q48" s="14"/>
      <c r="R48" s="14">
        <v>7</v>
      </c>
      <c r="S48" s="14"/>
      <c r="T48" s="14"/>
      <c r="U48" s="14"/>
      <c r="V48" s="243"/>
      <c r="W48" s="243"/>
      <c r="X48" s="243"/>
      <c r="Y48" s="243"/>
      <c r="Z48" s="243"/>
      <c r="AA48" s="14"/>
      <c r="AB48" s="14"/>
      <c r="AC48" s="14"/>
      <c r="AD48" s="14"/>
      <c r="AE48" s="14"/>
      <c r="AF48" s="14"/>
    </row>
    <row r="49" spans="1:32" s="116" customFormat="1" ht="20.100000000000001" customHeight="1">
      <c r="A49" s="14"/>
      <c r="C49" s="14">
        <v>2035334597</v>
      </c>
      <c r="D49" s="14" t="s">
        <v>205</v>
      </c>
      <c r="E49" s="282" t="s">
        <v>390</v>
      </c>
      <c r="F49" s="14">
        <v>200</v>
      </c>
      <c r="G49" s="14"/>
      <c r="H49" s="14"/>
      <c r="I49" s="14"/>
      <c r="J49" s="14"/>
      <c r="K49" s="14"/>
      <c r="L49" s="14"/>
      <c r="M49" s="14"/>
      <c r="N49" s="241"/>
      <c r="O49" s="14"/>
      <c r="P49" s="14"/>
      <c r="Q49" s="14"/>
      <c r="R49" s="14">
        <v>5</v>
      </c>
      <c r="S49" s="14"/>
      <c r="T49" s="14"/>
      <c r="U49" s="14"/>
      <c r="V49" s="243"/>
      <c r="W49" s="243"/>
      <c r="X49" s="243"/>
      <c r="Y49" s="243"/>
      <c r="Z49" s="243"/>
      <c r="AA49" s="14"/>
      <c r="AB49" s="14"/>
      <c r="AC49" s="14"/>
      <c r="AD49" s="14"/>
      <c r="AE49" s="14"/>
      <c r="AF49" s="14"/>
    </row>
    <row r="50" spans="1:32" s="116" customFormat="1" ht="20.100000000000001" customHeight="1">
      <c r="A50" s="14"/>
      <c r="C50" s="14">
        <v>1839268518</v>
      </c>
      <c r="D50" s="14" t="s">
        <v>558</v>
      </c>
      <c r="E50" s="282" t="s">
        <v>392</v>
      </c>
      <c r="F50" s="14">
        <v>200</v>
      </c>
      <c r="G50" s="14"/>
      <c r="H50" s="14"/>
      <c r="I50" s="14"/>
      <c r="J50" s="14"/>
      <c r="K50" s="14"/>
      <c r="L50" s="14"/>
      <c r="M50" s="14"/>
      <c r="N50" s="241"/>
      <c r="O50" s="14">
        <v>100</v>
      </c>
      <c r="P50" s="14"/>
      <c r="Q50" s="14"/>
      <c r="R50" s="14">
        <v>7</v>
      </c>
      <c r="S50" s="14"/>
      <c r="T50" s="14"/>
      <c r="U50" s="14"/>
      <c r="V50" s="243"/>
      <c r="W50" s="243"/>
      <c r="X50" s="243"/>
      <c r="Y50" s="243"/>
      <c r="Z50" s="243"/>
      <c r="AA50" s="14"/>
      <c r="AB50" s="14"/>
      <c r="AC50" s="14"/>
      <c r="AD50" s="14"/>
      <c r="AE50" s="14"/>
      <c r="AF50" s="14"/>
    </row>
    <row r="51" spans="1:32" s="116" customFormat="1" ht="20.100000000000001" customHeight="1">
      <c r="A51" s="14"/>
      <c r="C51" s="14">
        <v>1872013382</v>
      </c>
      <c r="D51" s="14" t="s">
        <v>449</v>
      </c>
      <c r="E51" s="282" t="s">
        <v>547</v>
      </c>
      <c r="F51" s="14">
        <v>200</v>
      </c>
      <c r="G51" s="14"/>
      <c r="H51" s="14"/>
      <c r="I51" s="14"/>
      <c r="J51" s="14"/>
      <c r="K51" s="14"/>
      <c r="L51" s="14"/>
      <c r="M51" s="14"/>
      <c r="N51" s="241"/>
      <c r="O51" s="14"/>
      <c r="P51" s="14"/>
      <c r="Q51" s="14"/>
      <c r="R51" s="14">
        <v>5</v>
      </c>
      <c r="S51" s="14"/>
      <c r="T51" s="14"/>
      <c r="U51" s="14"/>
      <c r="V51" s="243"/>
      <c r="W51" s="243"/>
      <c r="X51" s="243"/>
      <c r="Y51" s="243"/>
      <c r="Z51" s="243"/>
      <c r="AA51" s="14"/>
      <c r="AB51" s="14"/>
      <c r="AC51" s="14"/>
      <c r="AD51" s="14"/>
      <c r="AE51" s="14"/>
      <c r="AF51" s="14"/>
    </row>
    <row r="52" spans="1:32" s="116" customFormat="1" ht="20.100000000000001" customHeight="1">
      <c r="A52" s="14"/>
      <c r="C52" s="14">
        <v>1632138788</v>
      </c>
      <c r="D52" s="14" t="s">
        <v>559</v>
      </c>
      <c r="E52" s="282" t="s">
        <v>530</v>
      </c>
      <c r="F52" s="14">
        <v>200</v>
      </c>
      <c r="G52" s="14"/>
      <c r="H52" s="14"/>
      <c r="I52" s="14"/>
      <c r="J52" s="14"/>
      <c r="K52" s="14"/>
      <c r="L52" s="14"/>
      <c r="M52" s="14"/>
      <c r="N52" s="241"/>
      <c r="O52" s="14">
        <v>100</v>
      </c>
      <c r="P52" s="14"/>
      <c r="Q52" s="14"/>
      <c r="R52" s="14">
        <v>5</v>
      </c>
      <c r="S52" s="14"/>
      <c r="T52" s="14"/>
      <c r="U52" s="14"/>
      <c r="V52" s="243"/>
      <c r="W52" s="243"/>
      <c r="X52" s="243"/>
      <c r="Y52" s="243"/>
      <c r="Z52" s="243"/>
      <c r="AA52" s="14"/>
      <c r="AB52" s="14"/>
      <c r="AC52" s="14"/>
      <c r="AD52" s="14"/>
      <c r="AE52" s="14"/>
      <c r="AF52" s="14"/>
    </row>
    <row r="53" spans="1:32" s="116" customFormat="1" ht="20.100000000000001" customHeight="1">
      <c r="A53" s="14"/>
      <c r="C53" s="14">
        <v>1509576334</v>
      </c>
      <c r="D53" s="14" t="s">
        <v>560</v>
      </c>
      <c r="E53" s="282" t="s">
        <v>531</v>
      </c>
      <c r="F53" s="14">
        <v>200</v>
      </c>
      <c r="G53" s="14"/>
      <c r="H53" s="14"/>
      <c r="I53" s="14"/>
      <c r="J53" s="14"/>
      <c r="K53" s="14"/>
      <c r="L53" s="14"/>
      <c r="M53" s="14"/>
      <c r="N53" s="241"/>
      <c r="O53" s="14">
        <v>50</v>
      </c>
      <c r="P53" s="14"/>
      <c r="Q53" s="14"/>
      <c r="R53" s="14">
        <v>5</v>
      </c>
      <c r="S53" s="14"/>
      <c r="T53" s="14"/>
      <c r="U53" s="14"/>
      <c r="V53" s="243"/>
      <c r="W53" s="243"/>
      <c r="X53" s="243"/>
      <c r="Y53" s="243"/>
      <c r="Z53" s="243"/>
      <c r="AA53" s="14"/>
      <c r="AB53" s="14"/>
      <c r="AC53" s="14"/>
      <c r="AD53" s="14"/>
      <c r="AE53" s="14"/>
      <c r="AF53" s="14"/>
    </row>
    <row r="54" spans="1:32" s="116" customFormat="1" ht="20.100000000000001" customHeight="1">
      <c r="A54" s="14"/>
      <c r="C54" s="14">
        <v>1201249206</v>
      </c>
      <c r="D54" s="14" t="s">
        <v>352</v>
      </c>
      <c r="E54" s="282" t="s">
        <v>394</v>
      </c>
      <c r="F54" s="14">
        <v>200</v>
      </c>
      <c r="G54" s="14"/>
      <c r="H54" s="14"/>
      <c r="I54" s="14"/>
      <c r="J54" s="14"/>
      <c r="K54" s="14"/>
      <c r="L54" s="14"/>
      <c r="M54" s="14"/>
      <c r="N54" s="241"/>
      <c r="O54" s="14">
        <v>100</v>
      </c>
      <c r="P54" s="14"/>
      <c r="Q54" s="14"/>
      <c r="R54" s="14">
        <v>5</v>
      </c>
      <c r="S54" s="14"/>
      <c r="T54" s="14"/>
      <c r="U54" s="14"/>
      <c r="V54" s="243"/>
      <c r="W54" s="243"/>
      <c r="X54" s="243"/>
      <c r="Y54" s="243"/>
      <c r="Z54" s="243"/>
      <c r="AA54" s="14"/>
      <c r="AB54" s="14"/>
      <c r="AC54" s="14"/>
      <c r="AD54" s="14"/>
      <c r="AE54" s="14"/>
      <c r="AF54" s="14"/>
    </row>
    <row r="55" spans="1:32" s="116" customFormat="1" ht="20.100000000000001" customHeight="1">
      <c r="A55" s="14"/>
      <c r="C55" s="14">
        <v>1898707389</v>
      </c>
      <c r="D55" s="14" t="s">
        <v>509</v>
      </c>
      <c r="E55" s="282" t="s">
        <v>548</v>
      </c>
      <c r="F55" s="14">
        <v>200</v>
      </c>
      <c r="G55" s="14"/>
      <c r="H55" s="14"/>
      <c r="I55" s="14"/>
      <c r="J55" s="14"/>
      <c r="K55" s="14"/>
      <c r="L55" s="14"/>
      <c r="M55" s="14"/>
      <c r="N55" s="241"/>
      <c r="O55" s="14">
        <v>50</v>
      </c>
      <c r="P55" s="14"/>
      <c r="Q55" s="14"/>
      <c r="R55" s="14">
        <v>3</v>
      </c>
      <c r="S55" s="14"/>
      <c r="T55" s="14"/>
      <c r="U55" s="14"/>
      <c r="V55" s="243"/>
      <c r="W55" s="243"/>
      <c r="X55" s="243"/>
      <c r="Y55" s="243"/>
      <c r="Z55" s="243"/>
      <c r="AA55" s="14"/>
      <c r="AB55" s="14"/>
      <c r="AC55" s="14"/>
      <c r="AD55" s="14"/>
      <c r="AE55" s="14"/>
      <c r="AF55" s="14"/>
    </row>
    <row r="56" spans="1:32" s="116" customFormat="1" ht="20.100000000000001" customHeight="1">
      <c r="A56" s="14"/>
      <c r="C56" s="14">
        <v>2056858156</v>
      </c>
      <c r="D56" s="14" t="s">
        <v>512</v>
      </c>
      <c r="E56" s="282" t="s">
        <v>549</v>
      </c>
      <c r="F56" s="14">
        <v>150</v>
      </c>
      <c r="G56" s="14"/>
      <c r="H56" s="14"/>
      <c r="I56" s="14"/>
      <c r="J56" s="14"/>
      <c r="K56" s="14"/>
      <c r="L56" s="14"/>
      <c r="M56" s="14"/>
      <c r="N56" s="241"/>
      <c r="O56" s="14"/>
      <c r="P56" s="14"/>
      <c r="Q56" s="14"/>
      <c r="R56" s="14">
        <v>5</v>
      </c>
      <c r="S56" s="14"/>
      <c r="T56" s="14"/>
      <c r="U56" s="14"/>
      <c r="V56" s="243"/>
      <c r="W56" s="243"/>
      <c r="X56" s="243"/>
      <c r="Y56" s="243"/>
      <c r="Z56" s="243"/>
      <c r="AA56" s="14"/>
      <c r="AB56" s="14"/>
      <c r="AC56" s="14"/>
      <c r="AD56" s="14"/>
      <c r="AE56" s="14"/>
      <c r="AF56" s="14"/>
    </row>
    <row r="57" spans="1:32" s="116" customFormat="1" ht="20.100000000000001" customHeight="1">
      <c r="A57" s="14"/>
      <c r="C57" s="14">
        <v>1258228694</v>
      </c>
      <c r="D57" s="14" t="s">
        <v>203</v>
      </c>
      <c r="E57" s="282" t="s">
        <v>262</v>
      </c>
      <c r="F57" s="14"/>
      <c r="G57" s="14"/>
      <c r="H57" s="14"/>
      <c r="I57" s="14"/>
      <c r="J57" s="14"/>
      <c r="K57" s="14"/>
      <c r="L57" s="14"/>
      <c r="M57" s="14"/>
      <c r="N57" s="241"/>
      <c r="O57" s="14"/>
      <c r="P57" s="14"/>
      <c r="Q57" s="14"/>
      <c r="R57" s="14"/>
      <c r="S57" s="14"/>
      <c r="T57" s="14"/>
      <c r="U57" s="14"/>
      <c r="V57" s="243"/>
      <c r="W57" s="243"/>
      <c r="X57" s="243"/>
      <c r="Y57" s="243"/>
      <c r="Z57" s="243"/>
      <c r="AA57" s="14"/>
      <c r="AB57" s="14"/>
      <c r="AC57" s="14"/>
      <c r="AD57" s="14"/>
      <c r="AE57" s="14"/>
      <c r="AF57" s="14"/>
    </row>
    <row r="58" spans="1:32" s="116" customFormat="1" ht="20.100000000000001" customHeight="1">
      <c r="A58" s="14"/>
      <c r="C58" s="14">
        <v>1016917438</v>
      </c>
      <c r="D58" s="14" t="s">
        <v>561</v>
      </c>
      <c r="E58" s="282" t="s">
        <v>382</v>
      </c>
      <c r="F58" s="14"/>
      <c r="G58" s="14"/>
      <c r="H58" s="14"/>
      <c r="I58" s="14"/>
      <c r="J58" s="14"/>
      <c r="K58" s="14"/>
      <c r="L58" s="14"/>
      <c r="M58" s="14"/>
      <c r="N58" s="241"/>
      <c r="O58" s="14"/>
      <c r="P58" s="14"/>
      <c r="Q58" s="14"/>
      <c r="R58" s="14"/>
      <c r="S58" s="14"/>
      <c r="T58" s="14"/>
      <c r="U58" s="14"/>
      <c r="V58" s="243"/>
      <c r="W58" s="243"/>
      <c r="X58" s="243"/>
      <c r="Y58" s="243"/>
      <c r="Z58" s="243"/>
      <c r="AA58" s="14"/>
      <c r="AB58" s="14"/>
      <c r="AC58" s="14"/>
      <c r="AD58" s="14"/>
      <c r="AE58" s="14"/>
      <c r="AF58" s="14"/>
    </row>
    <row r="59" spans="1:32" s="116" customFormat="1" ht="20.100000000000001" customHeight="1">
      <c r="A59" s="14"/>
      <c r="C59" s="14">
        <v>1881917537</v>
      </c>
      <c r="D59" s="14" t="s">
        <v>207</v>
      </c>
      <c r="E59" s="282" t="s">
        <v>264</v>
      </c>
      <c r="F59" s="14"/>
      <c r="G59" s="14"/>
      <c r="H59" s="14"/>
      <c r="I59" s="14"/>
      <c r="J59" s="14"/>
      <c r="K59" s="14"/>
      <c r="L59" s="14"/>
      <c r="M59" s="14"/>
      <c r="N59" s="241"/>
      <c r="O59" s="14"/>
      <c r="P59" s="14"/>
      <c r="Q59" s="14"/>
      <c r="R59" s="14"/>
      <c r="S59" s="14"/>
      <c r="T59" s="14"/>
      <c r="U59" s="14"/>
      <c r="V59" s="243"/>
      <c r="W59" s="243"/>
      <c r="X59" s="243"/>
      <c r="Y59" s="243"/>
      <c r="Z59" s="243"/>
      <c r="AA59" s="14"/>
      <c r="AB59" s="14"/>
      <c r="AC59" s="14"/>
      <c r="AD59" s="14"/>
      <c r="AE59" s="14"/>
      <c r="AF59" s="14"/>
    </row>
    <row r="60" spans="1:32" s="116" customFormat="1" ht="20.100000000000001" customHeight="1">
      <c r="A60" s="14"/>
      <c r="C60" s="14">
        <v>1886277668</v>
      </c>
      <c r="D60" s="14" t="s">
        <v>562</v>
      </c>
      <c r="E60" s="282" t="s">
        <v>389</v>
      </c>
      <c r="F60" s="14"/>
      <c r="G60" s="14"/>
      <c r="H60" s="14"/>
      <c r="I60" s="14"/>
      <c r="J60" s="14"/>
      <c r="K60" s="14"/>
      <c r="L60" s="14"/>
      <c r="M60" s="14"/>
      <c r="N60" s="241"/>
      <c r="O60" s="14"/>
      <c r="P60" s="14"/>
      <c r="Q60" s="14"/>
      <c r="R60" s="14"/>
      <c r="S60" s="14"/>
      <c r="T60" s="14"/>
      <c r="U60" s="14"/>
      <c r="V60" s="243"/>
      <c r="W60" s="243"/>
      <c r="X60" s="243"/>
      <c r="Y60" s="243"/>
      <c r="Z60" s="243"/>
      <c r="AA60" s="14"/>
      <c r="AB60" s="14"/>
      <c r="AC60" s="14"/>
      <c r="AD60" s="14"/>
      <c r="AE60" s="14"/>
      <c r="AF60" s="14"/>
    </row>
    <row r="61" spans="1:32" s="116" customFormat="1" ht="20.100000000000001" customHeight="1">
      <c r="A61" s="14"/>
      <c r="C61" s="14">
        <v>1468738927</v>
      </c>
      <c r="D61" s="14" t="s">
        <v>511</v>
      </c>
      <c r="E61" s="282" t="s">
        <v>550</v>
      </c>
      <c r="F61" s="14"/>
      <c r="G61" s="14"/>
      <c r="H61" s="14"/>
      <c r="I61" s="14"/>
      <c r="J61" s="14"/>
      <c r="K61" s="14"/>
      <c r="L61" s="14"/>
      <c r="M61" s="14"/>
      <c r="N61" s="241"/>
      <c r="O61" s="14"/>
      <c r="P61" s="14"/>
      <c r="Q61" s="14"/>
      <c r="R61" s="14"/>
      <c r="S61" s="14"/>
      <c r="T61" s="14"/>
      <c r="U61" s="14"/>
      <c r="V61" s="243"/>
      <c r="W61" s="243"/>
      <c r="X61" s="243"/>
      <c r="Y61" s="243"/>
      <c r="Z61" s="243"/>
      <c r="AA61" s="14"/>
      <c r="AB61" s="14"/>
      <c r="AC61" s="14"/>
      <c r="AD61" s="14"/>
      <c r="AE61" s="14"/>
      <c r="AF61" s="14"/>
    </row>
    <row r="62" spans="1:32" s="116" customFormat="1" ht="20.100000000000001" customHeight="1">
      <c r="A62" s="14"/>
      <c r="C62" s="14">
        <v>1937818033</v>
      </c>
      <c r="D62" s="14" t="s">
        <v>510</v>
      </c>
      <c r="E62" s="282" t="s">
        <v>551</v>
      </c>
      <c r="F62" s="14"/>
      <c r="G62" s="14"/>
      <c r="H62" s="14"/>
      <c r="I62" s="14"/>
      <c r="J62" s="14"/>
      <c r="K62" s="14"/>
      <c r="L62" s="14"/>
      <c r="M62" s="14"/>
      <c r="N62" s="241"/>
      <c r="O62" s="14"/>
      <c r="P62" s="14"/>
      <c r="Q62" s="14"/>
      <c r="R62" s="14"/>
      <c r="S62" s="14"/>
      <c r="T62" s="14"/>
      <c r="U62" s="14"/>
      <c r="V62" s="243"/>
      <c r="W62" s="243"/>
      <c r="X62" s="243"/>
      <c r="Y62" s="243"/>
      <c r="Z62" s="243"/>
      <c r="AA62" s="14"/>
      <c r="AB62" s="14"/>
      <c r="AC62" s="14"/>
      <c r="AD62" s="14"/>
      <c r="AE62" s="14"/>
      <c r="AF62" s="14"/>
    </row>
    <row r="63" spans="1:32" s="116" customFormat="1" ht="20.100000000000001" customHeight="1">
      <c r="A63" s="14"/>
      <c r="C63" s="14"/>
      <c r="D63" s="14"/>
      <c r="E63" s="282"/>
      <c r="F63" s="14"/>
      <c r="G63" s="14"/>
      <c r="H63" s="14"/>
      <c r="I63" s="14"/>
      <c r="J63" s="14"/>
      <c r="K63" s="14"/>
      <c r="L63" s="14"/>
      <c r="M63" s="14"/>
      <c r="N63" s="241"/>
      <c r="O63" s="14"/>
      <c r="P63" s="14"/>
      <c r="Q63" s="14"/>
      <c r="R63" s="14"/>
      <c r="S63" s="14"/>
      <c r="T63" s="14"/>
      <c r="U63" s="14"/>
      <c r="V63" s="243"/>
      <c r="W63" s="243"/>
      <c r="X63" s="243"/>
      <c r="Y63" s="243"/>
      <c r="Z63" s="243"/>
      <c r="AA63" s="14"/>
      <c r="AB63" s="14"/>
      <c r="AC63" s="14"/>
      <c r="AD63" s="14"/>
      <c r="AE63" s="14"/>
      <c r="AF63" s="14"/>
    </row>
    <row r="64" spans="1:32" s="116" customFormat="1" ht="20.100000000000001" customHeight="1">
      <c r="A64" s="14"/>
      <c r="C64" s="14"/>
      <c r="D64" s="14"/>
      <c r="E64" s="282"/>
      <c r="F64" s="14"/>
      <c r="G64" s="14"/>
      <c r="H64" s="14"/>
      <c r="I64" s="14"/>
      <c r="J64" s="14"/>
      <c r="K64" s="14"/>
      <c r="L64" s="14"/>
      <c r="M64" s="14"/>
      <c r="N64" s="241"/>
      <c r="O64" s="14"/>
      <c r="P64" s="14"/>
      <c r="Q64" s="14"/>
      <c r="R64" s="14"/>
      <c r="S64" s="14"/>
      <c r="T64" s="14"/>
      <c r="U64" s="14"/>
      <c r="V64" s="243"/>
      <c r="W64" s="243"/>
      <c r="X64" s="243"/>
      <c r="Y64" s="243"/>
      <c r="Z64" s="243"/>
      <c r="AA64" s="14"/>
      <c r="AB64" s="14"/>
      <c r="AC64" s="14"/>
      <c r="AD64" s="14"/>
      <c r="AE64" s="14"/>
      <c r="AF64" s="14"/>
    </row>
    <row r="65" spans="1:32" s="116" customFormat="1" ht="20.100000000000001" customHeight="1">
      <c r="A65" s="14"/>
      <c r="C65" s="14">
        <v>1726182684</v>
      </c>
      <c r="D65" s="14" t="s">
        <v>539</v>
      </c>
      <c r="E65" s="282" t="s">
        <v>546</v>
      </c>
      <c r="F65" s="14">
        <v>100</v>
      </c>
      <c r="G65" s="14"/>
      <c r="H65" s="14"/>
      <c r="I65" s="14"/>
      <c r="J65" s="14"/>
      <c r="K65" s="14"/>
      <c r="L65" s="14"/>
      <c r="M65" s="14"/>
      <c r="N65" s="241"/>
      <c r="O65" s="14">
        <v>100</v>
      </c>
      <c r="P65" s="14"/>
      <c r="Q65" s="14"/>
      <c r="R65" s="14"/>
      <c r="S65" s="14"/>
      <c r="T65" s="14"/>
      <c r="U65" s="14"/>
      <c r="V65" s="243"/>
      <c r="W65" s="243"/>
      <c r="X65" s="243"/>
      <c r="Y65" s="243"/>
      <c r="Z65" s="243"/>
      <c r="AA65" s="14"/>
      <c r="AB65" s="14"/>
      <c r="AC65" s="14"/>
      <c r="AD65" s="14"/>
      <c r="AE65" s="14"/>
      <c r="AF65" s="14"/>
    </row>
    <row r="66" spans="1:32" s="116" customFormat="1" ht="20.100000000000001" customHeight="1">
      <c r="A66" s="14"/>
      <c r="C66" s="14">
        <v>1248197916</v>
      </c>
      <c r="D66" s="14" t="s">
        <v>540</v>
      </c>
      <c r="E66" s="282" t="s">
        <v>537</v>
      </c>
      <c r="F66" s="14">
        <v>200</v>
      </c>
      <c r="G66" s="14"/>
      <c r="H66" s="14"/>
      <c r="I66" s="14"/>
      <c r="J66" s="14"/>
      <c r="K66" s="14"/>
      <c r="L66" s="14"/>
      <c r="M66" s="14"/>
      <c r="N66" s="241"/>
      <c r="O66" s="14"/>
      <c r="P66" s="14"/>
      <c r="Q66" s="14"/>
      <c r="R66" s="14"/>
      <c r="S66" s="14"/>
      <c r="T66" s="14"/>
      <c r="U66" s="14"/>
      <c r="V66" s="243"/>
      <c r="W66" s="243"/>
      <c r="X66" s="243"/>
      <c r="Y66" s="243"/>
      <c r="Z66" s="243"/>
      <c r="AA66" s="14"/>
      <c r="AB66" s="14"/>
      <c r="AC66" s="14"/>
      <c r="AD66" s="14"/>
      <c r="AE66" s="14"/>
      <c r="AF66" s="14"/>
    </row>
    <row r="67" spans="1:32" s="116" customFormat="1" ht="20.100000000000001" customHeight="1">
      <c r="A67" s="14"/>
      <c r="C67" s="14">
        <v>1731817909</v>
      </c>
      <c r="D67" s="14" t="s">
        <v>541</v>
      </c>
      <c r="E67" s="282" t="s">
        <v>533</v>
      </c>
      <c r="F67" s="14">
        <v>200</v>
      </c>
      <c r="G67" s="14"/>
      <c r="H67" s="14"/>
      <c r="I67" s="14"/>
      <c r="J67" s="14"/>
      <c r="K67" s="14"/>
      <c r="L67" s="14"/>
      <c r="M67" s="14"/>
      <c r="N67" s="241"/>
      <c r="O67" s="14"/>
      <c r="P67" s="14"/>
      <c r="Q67" s="14"/>
      <c r="R67" s="14"/>
      <c r="S67" s="14"/>
      <c r="T67" s="14"/>
      <c r="U67" s="14"/>
      <c r="V67" s="243"/>
      <c r="W67" s="243"/>
      <c r="X67" s="243"/>
      <c r="Y67" s="243"/>
      <c r="Z67" s="243"/>
      <c r="AA67" s="14"/>
      <c r="AB67" s="14"/>
      <c r="AC67" s="14"/>
      <c r="AD67" s="14"/>
      <c r="AE67" s="14"/>
      <c r="AF67" s="14"/>
    </row>
    <row r="68" spans="1:32" s="116" customFormat="1" ht="20.100000000000001" customHeight="1">
      <c r="A68" s="14"/>
      <c r="C68" s="14">
        <v>34283740</v>
      </c>
      <c r="D68" s="14" t="s">
        <v>542</v>
      </c>
      <c r="E68" s="282" t="s">
        <v>534</v>
      </c>
      <c r="F68" s="14">
        <v>200</v>
      </c>
      <c r="G68" s="14"/>
      <c r="H68" s="14"/>
      <c r="I68" s="14"/>
      <c r="J68" s="14"/>
      <c r="K68" s="14"/>
      <c r="L68" s="14"/>
      <c r="M68" s="14"/>
      <c r="N68" s="241"/>
      <c r="O68" s="14"/>
      <c r="P68" s="14"/>
      <c r="Q68" s="14"/>
      <c r="R68" s="14"/>
      <c r="S68" s="14"/>
      <c r="T68" s="14"/>
      <c r="U68" s="14"/>
      <c r="V68" s="243"/>
      <c r="W68" s="243"/>
      <c r="X68" s="243"/>
      <c r="Y68" s="243"/>
      <c r="Z68" s="243"/>
      <c r="AA68" s="14"/>
      <c r="AB68" s="14"/>
      <c r="AC68" s="14"/>
      <c r="AD68" s="14"/>
      <c r="AE68" s="14"/>
      <c r="AF68" s="14"/>
    </row>
    <row r="69" spans="1:32" s="116" customFormat="1" ht="20.100000000000001" customHeight="1">
      <c r="A69" s="14"/>
      <c r="C69" s="14">
        <v>37542360</v>
      </c>
      <c r="D69" s="14" t="s">
        <v>543</v>
      </c>
      <c r="E69" s="282" t="s">
        <v>538</v>
      </c>
      <c r="F69" s="247">
        <v>200</v>
      </c>
      <c r="G69" s="14"/>
      <c r="H69" s="14"/>
      <c r="I69" s="14"/>
      <c r="J69" s="14"/>
      <c r="K69" s="14"/>
      <c r="L69" s="14"/>
      <c r="M69" s="14"/>
      <c r="N69" s="241"/>
      <c r="O69" s="14"/>
      <c r="P69" s="14"/>
      <c r="Q69" s="14"/>
      <c r="R69" s="14"/>
      <c r="S69" s="14"/>
      <c r="T69" s="14"/>
      <c r="U69" s="14"/>
      <c r="V69" s="243"/>
      <c r="W69" s="243"/>
      <c r="X69" s="243"/>
      <c r="Y69" s="243"/>
      <c r="Z69" s="243"/>
      <c r="AA69" s="14"/>
      <c r="AB69" s="14"/>
      <c r="AC69" s="14"/>
      <c r="AD69" s="14"/>
      <c r="AE69" s="14"/>
      <c r="AF69" s="14"/>
    </row>
    <row r="70" spans="1:32" s="116" customFormat="1" ht="20.100000000000001" customHeight="1">
      <c r="A70" s="14"/>
      <c r="C70" s="14">
        <v>1004387540</v>
      </c>
      <c r="D70" s="14" t="s">
        <v>544</v>
      </c>
      <c r="E70" s="282" t="s">
        <v>553</v>
      </c>
      <c r="F70" s="14">
        <v>150</v>
      </c>
      <c r="G70" s="14"/>
      <c r="H70" s="14"/>
      <c r="I70" s="14"/>
      <c r="J70" s="14"/>
      <c r="K70" s="14"/>
      <c r="L70" s="14"/>
      <c r="M70" s="14"/>
      <c r="N70" s="241"/>
      <c r="O70" s="14"/>
      <c r="P70" s="14"/>
      <c r="Q70" s="14"/>
      <c r="R70" s="14"/>
      <c r="S70" s="14"/>
      <c r="T70" s="14"/>
      <c r="U70" s="14"/>
      <c r="V70" s="243"/>
      <c r="W70" s="243"/>
      <c r="X70" s="243"/>
      <c r="Y70" s="243"/>
      <c r="Z70" s="243"/>
      <c r="AA70" s="14"/>
      <c r="AB70" s="14"/>
      <c r="AC70" s="14"/>
      <c r="AD70" s="14"/>
      <c r="AE70" s="14"/>
      <c r="AF70" s="14"/>
    </row>
    <row r="71" spans="1:32" s="116" customFormat="1" ht="20.100000000000001" customHeight="1">
      <c r="A71" s="14"/>
      <c r="C71" s="14">
        <v>1628980692</v>
      </c>
      <c r="D71" s="14" t="s">
        <v>545</v>
      </c>
      <c r="E71" s="282" t="s">
        <v>535</v>
      </c>
      <c r="F71" s="247">
        <v>150</v>
      </c>
      <c r="G71" s="14"/>
      <c r="H71" s="14"/>
      <c r="I71" s="14"/>
      <c r="J71" s="14"/>
      <c r="K71" s="14"/>
      <c r="L71" s="14"/>
      <c r="M71" s="14"/>
      <c r="N71" s="241"/>
      <c r="O71" s="14"/>
      <c r="P71" s="14"/>
      <c r="Q71" s="14"/>
      <c r="R71" s="14"/>
      <c r="S71" s="14"/>
      <c r="T71" s="14"/>
      <c r="U71" s="14"/>
      <c r="V71" s="243"/>
      <c r="W71" s="243"/>
      <c r="X71" s="243"/>
      <c r="Y71" s="243"/>
      <c r="Z71" s="243"/>
      <c r="AA71" s="14"/>
      <c r="AB71" s="14"/>
      <c r="AC71" s="14"/>
      <c r="AD71" s="14"/>
      <c r="AE71" s="14"/>
      <c r="AF71" s="14"/>
    </row>
    <row r="72" spans="1:32" s="116" customFormat="1" ht="20.100000000000001" customHeight="1">
      <c r="A72" s="14"/>
      <c r="C72" s="14">
        <v>2022817604</v>
      </c>
      <c r="D72" s="14" t="s">
        <v>563</v>
      </c>
      <c r="E72" s="282" t="s">
        <v>536</v>
      </c>
      <c r="F72" s="247">
        <v>150</v>
      </c>
      <c r="G72" s="14"/>
      <c r="H72" s="14"/>
      <c r="I72" s="14"/>
      <c r="J72" s="14"/>
      <c r="K72" s="14"/>
      <c r="L72" s="14"/>
      <c r="M72" s="14"/>
      <c r="N72" s="241"/>
      <c r="O72" s="14"/>
      <c r="P72" s="14"/>
      <c r="Q72" s="14"/>
      <c r="R72" s="14"/>
      <c r="S72" s="14"/>
      <c r="T72" s="14"/>
      <c r="U72" s="14"/>
      <c r="V72" s="243"/>
      <c r="W72" s="243"/>
      <c r="X72" s="243"/>
      <c r="Y72" s="243"/>
      <c r="Z72" s="243"/>
      <c r="AA72" s="14"/>
      <c r="AB72" s="14"/>
      <c r="AC72" s="14"/>
      <c r="AD72" s="14"/>
      <c r="AE72" s="14"/>
      <c r="AF72" s="14"/>
    </row>
    <row r="73" spans="1:32" s="116" customFormat="1" ht="20.100000000000001" customHeight="1">
      <c r="A73" s="14"/>
      <c r="C73" s="14">
        <v>1108685948</v>
      </c>
      <c r="D73" s="14" t="s">
        <v>323</v>
      </c>
      <c r="E73" s="282" t="s">
        <v>416</v>
      </c>
      <c r="F73" s="14">
        <v>250</v>
      </c>
      <c r="G73" s="14"/>
      <c r="H73" s="14"/>
      <c r="I73" s="14"/>
      <c r="J73" s="14"/>
      <c r="K73" s="14"/>
      <c r="L73" s="14"/>
      <c r="M73" s="14"/>
      <c r="N73" s="241"/>
      <c r="O73" s="14"/>
      <c r="P73" s="14"/>
      <c r="Q73" s="14"/>
      <c r="R73" s="14"/>
      <c r="S73" s="14"/>
      <c r="T73" s="14"/>
      <c r="U73" s="14"/>
      <c r="V73" s="243"/>
      <c r="W73" s="243"/>
      <c r="X73" s="243"/>
      <c r="Y73" s="243"/>
      <c r="Z73" s="243"/>
      <c r="AA73" s="14"/>
      <c r="AB73" s="14"/>
      <c r="AC73" s="14"/>
      <c r="AD73" s="14"/>
      <c r="AE73" s="14"/>
      <c r="AF73" s="14"/>
    </row>
    <row r="74" spans="1:32" s="116" customFormat="1" ht="20.100000000000001" customHeight="1">
      <c r="A74" s="14"/>
      <c r="C74" s="14"/>
      <c r="D74" s="14"/>
      <c r="E74" s="282"/>
      <c r="F74" s="14"/>
      <c r="G74" s="14"/>
      <c r="H74" s="14"/>
      <c r="I74" s="14"/>
      <c r="J74" s="14"/>
      <c r="K74" s="14"/>
      <c r="L74" s="14"/>
      <c r="M74" s="14"/>
      <c r="N74" s="241"/>
      <c r="O74" s="14"/>
      <c r="P74" s="14"/>
      <c r="Q74" s="14"/>
      <c r="R74" s="14"/>
      <c r="S74" s="14"/>
      <c r="T74" s="14"/>
      <c r="U74" s="14"/>
      <c r="V74" s="243"/>
      <c r="W74" s="243"/>
      <c r="X74" s="243"/>
      <c r="Y74" s="243"/>
      <c r="Z74" s="243"/>
      <c r="AA74" s="14"/>
      <c r="AB74" s="14"/>
      <c r="AC74" s="14"/>
      <c r="AD74" s="14"/>
      <c r="AE74" s="14"/>
      <c r="AF74" s="14"/>
    </row>
    <row r="75" spans="1:32" s="116" customFormat="1" ht="20.100000000000001" customHeight="1">
      <c r="A75" s="14"/>
      <c r="C75" s="14"/>
      <c r="D75" s="14"/>
      <c r="E75" s="282"/>
      <c r="F75" s="14"/>
      <c r="G75" s="14"/>
      <c r="H75" s="14"/>
      <c r="I75" s="14"/>
      <c r="J75" s="14"/>
      <c r="K75" s="14"/>
      <c r="L75" s="14"/>
      <c r="M75" s="14"/>
      <c r="N75" s="241"/>
      <c r="O75" s="14"/>
      <c r="P75" s="14"/>
      <c r="Q75" s="14"/>
      <c r="R75" s="14"/>
      <c r="S75" s="14"/>
      <c r="T75" s="14"/>
      <c r="U75" s="14"/>
      <c r="V75" s="243"/>
      <c r="W75" s="243"/>
      <c r="X75" s="243"/>
      <c r="Y75" s="243"/>
      <c r="Z75" s="243"/>
      <c r="AA75" s="14"/>
      <c r="AB75" s="14"/>
      <c r="AC75" s="14"/>
      <c r="AD75" s="14"/>
      <c r="AE75" s="14"/>
      <c r="AF75" s="14"/>
    </row>
    <row r="76" spans="1:32" s="116" customFormat="1" ht="20.100000000000001" customHeight="1">
      <c r="A76" s="14"/>
      <c r="C76" s="14"/>
      <c r="D76" s="14"/>
      <c r="E76" s="282"/>
      <c r="F76" s="14"/>
      <c r="G76" s="14"/>
      <c r="H76" s="14"/>
      <c r="I76" s="14"/>
      <c r="J76" s="14"/>
      <c r="K76" s="14"/>
      <c r="L76" s="14"/>
      <c r="M76" s="14"/>
      <c r="N76" s="241"/>
      <c r="O76" s="14"/>
      <c r="P76" s="14"/>
      <c r="Q76" s="14"/>
      <c r="R76" s="14"/>
      <c r="S76" s="14"/>
      <c r="T76" s="14"/>
      <c r="U76" s="14"/>
      <c r="V76" s="243"/>
      <c r="W76" s="243"/>
      <c r="X76" s="243"/>
      <c r="Y76" s="243"/>
      <c r="Z76" s="243"/>
      <c r="AA76" s="14"/>
      <c r="AB76" s="14"/>
      <c r="AC76" s="14"/>
      <c r="AD76" s="14"/>
      <c r="AE76" s="14"/>
      <c r="AF76" s="14"/>
    </row>
    <row r="77" spans="1:32" s="116" customFormat="1" ht="20.100000000000001" customHeight="1">
      <c r="A77" s="14"/>
      <c r="C77" s="14"/>
      <c r="D77" s="14" t="s">
        <v>47</v>
      </c>
      <c r="E77" s="282"/>
      <c r="F77" s="14"/>
      <c r="G77" s="14"/>
      <c r="H77" s="14"/>
      <c r="I77" s="14"/>
      <c r="J77" s="14"/>
      <c r="K77" s="14"/>
      <c r="L77" s="14"/>
      <c r="M77" s="14"/>
      <c r="N77" s="241"/>
      <c r="O77" s="14"/>
      <c r="P77" s="14"/>
      <c r="Q77" s="14"/>
      <c r="R77" s="14"/>
      <c r="S77" s="14"/>
      <c r="T77" s="14"/>
      <c r="U77" s="14"/>
      <c r="V77" s="243"/>
      <c r="W77" s="243"/>
      <c r="X77" s="243"/>
      <c r="Y77" s="243"/>
      <c r="Z77" s="243"/>
      <c r="AA77" s="14"/>
      <c r="AB77" s="14"/>
      <c r="AC77" s="14"/>
      <c r="AD77" s="14"/>
      <c r="AE77" s="14"/>
      <c r="AF77" s="14"/>
    </row>
    <row r="78" spans="1:32" s="116" customFormat="1" ht="20.100000000000001" customHeight="1">
      <c r="A78" s="14"/>
      <c r="C78" s="14"/>
      <c r="D78" s="14" t="s">
        <v>41</v>
      </c>
      <c r="E78" s="282"/>
      <c r="F78" s="14"/>
      <c r="G78" s="14"/>
      <c r="H78" s="14"/>
      <c r="I78" s="14"/>
      <c r="J78" s="14"/>
      <c r="K78" s="14"/>
      <c r="L78" s="14"/>
      <c r="M78" s="14"/>
      <c r="N78" s="241"/>
      <c r="O78" s="14"/>
      <c r="P78" s="14"/>
      <c r="Q78" s="14"/>
      <c r="R78" s="14"/>
      <c r="S78" s="14"/>
      <c r="T78" s="14"/>
      <c r="U78" s="14"/>
      <c r="V78" s="243"/>
      <c r="W78" s="243"/>
      <c r="X78" s="243"/>
      <c r="Y78" s="243"/>
      <c r="Z78" s="243"/>
      <c r="AA78" s="14"/>
      <c r="AB78" s="14"/>
      <c r="AC78" s="14"/>
      <c r="AD78" s="14"/>
      <c r="AE78" s="14"/>
      <c r="AF78" s="14"/>
    </row>
    <row r="79" spans="1:32" s="116" customFormat="1" ht="20.100000000000001" customHeight="1">
      <c r="A79" s="14"/>
      <c r="C79" s="14"/>
      <c r="D79" s="14" t="s">
        <v>325</v>
      </c>
      <c r="E79" s="282"/>
      <c r="F79" s="14"/>
      <c r="G79" s="14"/>
      <c r="H79" s="14"/>
      <c r="I79" s="14"/>
      <c r="J79" s="14"/>
      <c r="K79" s="14"/>
      <c r="L79" s="14"/>
      <c r="M79" s="14"/>
      <c r="N79" s="241"/>
      <c r="O79" s="14"/>
      <c r="P79" s="14"/>
      <c r="Q79" s="14"/>
      <c r="R79" s="14"/>
      <c r="S79" s="14"/>
      <c r="T79" s="14"/>
      <c r="U79" s="14"/>
      <c r="V79" s="243"/>
      <c r="W79" s="243"/>
      <c r="X79" s="243"/>
      <c r="Y79" s="243"/>
      <c r="Z79" s="243"/>
      <c r="AA79" s="14"/>
      <c r="AB79" s="14"/>
      <c r="AC79" s="14"/>
      <c r="AD79" s="14"/>
      <c r="AE79" s="14"/>
      <c r="AF79" s="14"/>
    </row>
    <row r="80" spans="1:32" s="116" customFormat="1" ht="20.100000000000001" customHeight="1">
      <c r="A80" s="14"/>
      <c r="C80" s="14"/>
      <c r="D80" s="14" t="s">
        <v>153</v>
      </c>
      <c r="E80" s="282"/>
      <c r="F80" s="14"/>
      <c r="G80" s="14"/>
      <c r="H80" s="14"/>
      <c r="I80" s="14"/>
      <c r="J80" s="14"/>
      <c r="K80" s="14"/>
      <c r="L80" s="14"/>
      <c r="M80" s="14"/>
      <c r="N80" s="241"/>
      <c r="O80" s="14"/>
      <c r="P80" s="14"/>
      <c r="Q80" s="14"/>
      <c r="R80" s="14"/>
      <c r="S80" s="14"/>
      <c r="T80" s="14"/>
      <c r="U80" s="14"/>
      <c r="V80" s="243"/>
      <c r="W80" s="243"/>
      <c r="X80" s="243"/>
      <c r="Y80" s="243"/>
      <c r="Z80" s="243"/>
      <c r="AA80" s="14"/>
      <c r="AB80" s="14"/>
      <c r="AC80" s="14"/>
      <c r="AD80" s="14"/>
      <c r="AE80" s="14"/>
      <c r="AF80" s="14"/>
    </row>
    <row r="81" spans="1:32" s="116" customFormat="1" ht="20.100000000000001" customHeight="1">
      <c r="A81" s="14"/>
      <c r="C81" s="14"/>
      <c r="D81" s="14" t="s">
        <v>171</v>
      </c>
      <c r="E81" s="282"/>
      <c r="F81" s="14"/>
      <c r="G81" s="14"/>
      <c r="H81" s="14"/>
      <c r="I81" s="14"/>
      <c r="J81" s="14"/>
      <c r="K81" s="14"/>
      <c r="L81" s="14"/>
      <c r="M81" s="14"/>
      <c r="N81" s="241"/>
      <c r="O81" s="14"/>
      <c r="P81" s="14"/>
      <c r="Q81" s="14"/>
      <c r="R81" s="14"/>
      <c r="S81" s="14"/>
      <c r="T81" s="14"/>
      <c r="U81" s="14"/>
      <c r="V81" s="243"/>
      <c r="W81" s="243"/>
      <c r="X81" s="243"/>
      <c r="Y81" s="243"/>
      <c r="Z81" s="243"/>
      <c r="AA81" s="14"/>
      <c r="AB81" s="14"/>
      <c r="AC81" s="14"/>
      <c r="AD81" s="14"/>
      <c r="AE81" s="14"/>
      <c r="AF81" s="14"/>
    </row>
    <row r="82" spans="1:32" s="116" customFormat="1" ht="20.100000000000001" customHeight="1">
      <c r="A82" s="14"/>
      <c r="C82" s="14"/>
      <c r="D82" s="14" t="s">
        <v>138</v>
      </c>
      <c r="E82" s="282"/>
      <c r="F82" s="14"/>
      <c r="G82" s="14"/>
      <c r="H82" s="14"/>
      <c r="I82" s="14"/>
      <c r="J82" s="14"/>
      <c r="K82" s="14"/>
      <c r="L82" s="14"/>
      <c r="M82" s="14"/>
      <c r="N82" s="241"/>
      <c r="O82" s="14"/>
      <c r="P82" s="14"/>
      <c r="Q82" s="14"/>
      <c r="R82" s="14"/>
      <c r="S82" s="14"/>
      <c r="T82" s="14"/>
      <c r="U82" s="14"/>
      <c r="V82" s="243"/>
      <c r="W82" s="243"/>
      <c r="X82" s="243"/>
      <c r="Y82" s="243"/>
      <c r="Z82" s="243"/>
      <c r="AA82" s="14"/>
      <c r="AB82" s="14"/>
      <c r="AC82" s="14"/>
      <c r="AD82" s="14"/>
      <c r="AE82" s="14"/>
      <c r="AF82" s="14"/>
    </row>
    <row r="83" spans="1:32" s="116" customFormat="1" ht="20.100000000000001" customHeight="1">
      <c r="A83" s="14"/>
      <c r="C83" s="14"/>
      <c r="D83" s="14" t="s">
        <v>73</v>
      </c>
      <c r="E83" s="282"/>
      <c r="F83" s="14"/>
      <c r="G83" s="14"/>
      <c r="H83" s="14"/>
      <c r="I83" s="14"/>
      <c r="J83" s="14"/>
      <c r="K83" s="14"/>
      <c r="L83" s="14"/>
      <c r="M83" s="14"/>
      <c r="N83" s="241"/>
      <c r="O83" s="14"/>
      <c r="P83" s="14"/>
      <c r="Q83" s="14"/>
      <c r="R83" s="14"/>
      <c r="S83" s="14"/>
      <c r="T83" s="14"/>
      <c r="U83" s="14"/>
      <c r="V83" s="243"/>
      <c r="W83" s="243"/>
      <c r="X83" s="243"/>
      <c r="Y83" s="243"/>
      <c r="Z83" s="243"/>
      <c r="AA83" s="14"/>
      <c r="AB83" s="14"/>
      <c r="AC83" s="14"/>
      <c r="AD83" s="14"/>
      <c r="AE83" s="14"/>
      <c r="AF83" s="14"/>
    </row>
    <row r="84" spans="1:32" s="116" customFormat="1" ht="20.100000000000001" customHeight="1">
      <c r="A84" s="14"/>
      <c r="C84" s="14">
        <v>1294147426</v>
      </c>
      <c r="D84" s="14" t="s">
        <v>21</v>
      </c>
      <c r="E84" s="282"/>
      <c r="F84" s="14"/>
      <c r="G84" s="14"/>
      <c r="H84" s="14"/>
      <c r="I84" s="14"/>
      <c r="J84" s="14"/>
      <c r="K84" s="14"/>
      <c r="L84" s="14"/>
      <c r="M84" s="14"/>
      <c r="N84" s="241"/>
      <c r="O84" s="14"/>
      <c r="P84" s="14"/>
      <c r="Q84" s="14"/>
      <c r="R84" s="14"/>
      <c r="S84" s="14"/>
      <c r="T84" s="14"/>
      <c r="U84" s="14"/>
      <c r="V84" s="243"/>
      <c r="W84" s="243"/>
      <c r="X84" s="243"/>
      <c r="Y84" s="243"/>
      <c r="Z84" s="243"/>
      <c r="AA84" s="14"/>
      <c r="AB84" s="14"/>
      <c r="AC84" s="14"/>
      <c r="AD84" s="14"/>
      <c r="AE84" s="14"/>
      <c r="AF84" s="14"/>
    </row>
    <row r="85" spans="1:32" s="116" customFormat="1" ht="20.100000000000001" customHeight="1">
      <c r="A85" s="14"/>
      <c r="C85" s="14"/>
      <c r="D85" s="14" t="s">
        <v>362</v>
      </c>
      <c r="E85" s="282"/>
      <c r="F85" s="14"/>
      <c r="G85" s="14"/>
      <c r="H85" s="14"/>
      <c r="I85" s="14"/>
      <c r="J85" s="14"/>
      <c r="K85" s="14"/>
      <c r="L85" s="14"/>
      <c r="M85" s="14"/>
      <c r="N85" s="241"/>
      <c r="O85" s="14"/>
      <c r="P85" s="14"/>
      <c r="Q85" s="14"/>
      <c r="R85" s="14"/>
      <c r="S85" s="14"/>
      <c r="T85" s="14"/>
      <c r="U85" s="14"/>
      <c r="V85" s="243"/>
      <c r="W85" s="243"/>
      <c r="X85" s="243"/>
      <c r="Y85" s="243"/>
      <c r="Z85" s="243"/>
      <c r="AA85" s="14"/>
      <c r="AB85" s="14"/>
      <c r="AC85" s="14"/>
      <c r="AD85" s="14"/>
      <c r="AE85" s="14"/>
      <c r="AF85" s="14"/>
    </row>
    <row r="86" spans="1:32" s="116" customFormat="1" ht="20.100000000000001" customHeight="1">
      <c r="A86" s="14"/>
      <c r="C86" s="14"/>
      <c r="D86" s="14" t="s">
        <v>364</v>
      </c>
      <c r="E86" s="282"/>
      <c r="F86" s="14"/>
      <c r="G86" s="14"/>
      <c r="H86" s="14"/>
      <c r="I86" s="14"/>
      <c r="J86" s="14"/>
      <c r="K86" s="14"/>
      <c r="L86" s="14"/>
      <c r="M86" s="14"/>
      <c r="N86" s="241"/>
      <c r="O86" s="14"/>
      <c r="P86" s="14"/>
      <c r="Q86" s="14"/>
      <c r="R86" s="14"/>
      <c r="S86" s="14"/>
      <c r="T86" s="14"/>
      <c r="U86" s="14"/>
      <c r="V86" s="243"/>
      <c r="W86" s="243"/>
      <c r="X86" s="243"/>
      <c r="Y86" s="243"/>
      <c r="Z86" s="243"/>
      <c r="AA86" s="14"/>
      <c r="AB86" s="14"/>
      <c r="AC86" s="14"/>
      <c r="AD86" s="14"/>
      <c r="AE86" s="14"/>
      <c r="AF86" s="14"/>
    </row>
    <row r="87" spans="1:32" s="116" customFormat="1" ht="20.100000000000001" customHeight="1">
      <c r="A87" s="14"/>
      <c r="C87" s="14"/>
      <c r="D87" s="14" t="s">
        <v>367</v>
      </c>
      <c r="E87" s="282"/>
      <c r="F87" s="14"/>
      <c r="G87" s="14"/>
      <c r="H87" s="14"/>
      <c r="I87" s="14"/>
      <c r="J87" s="14"/>
      <c r="K87" s="14"/>
      <c r="L87" s="14"/>
      <c r="M87" s="14"/>
      <c r="N87" s="241"/>
      <c r="O87" s="14"/>
      <c r="P87" s="14"/>
      <c r="Q87" s="14"/>
      <c r="R87" s="14"/>
      <c r="S87" s="14"/>
      <c r="T87" s="14"/>
      <c r="U87" s="14"/>
      <c r="V87" s="243"/>
      <c r="W87" s="243"/>
      <c r="X87" s="243"/>
      <c r="Y87" s="243"/>
      <c r="Z87" s="243"/>
      <c r="AA87" s="14"/>
      <c r="AB87" s="14"/>
      <c r="AC87" s="14"/>
      <c r="AD87" s="14"/>
      <c r="AE87" s="14"/>
      <c r="AF87" s="14"/>
    </row>
    <row r="88" spans="1:32" s="116" customFormat="1" ht="20.100000000000001" customHeight="1">
      <c r="A88" s="14"/>
      <c r="C88" s="14"/>
      <c r="D88" s="14" t="s">
        <v>55</v>
      </c>
      <c r="E88" s="282"/>
      <c r="F88" s="14"/>
      <c r="G88" s="14"/>
      <c r="H88" s="14"/>
      <c r="I88" s="14"/>
      <c r="J88" s="14"/>
      <c r="K88" s="14"/>
      <c r="L88" s="14"/>
      <c r="M88" s="14"/>
      <c r="N88" s="241"/>
      <c r="O88" s="14"/>
      <c r="P88" s="14"/>
      <c r="Q88" s="14"/>
      <c r="R88" s="14"/>
      <c r="S88" s="14"/>
      <c r="T88" s="14"/>
      <c r="U88" s="14"/>
      <c r="V88" s="243"/>
      <c r="W88" s="243"/>
      <c r="X88" s="243"/>
      <c r="Y88" s="243"/>
      <c r="Z88" s="243"/>
      <c r="AA88" s="14"/>
      <c r="AB88" s="14"/>
      <c r="AC88" s="14"/>
      <c r="AD88" s="14"/>
      <c r="AE88" s="14"/>
      <c r="AF88" s="14"/>
    </row>
    <row r="89" spans="1:32" s="116" customFormat="1" ht="20.100000000000001" customHeight="1">
      <c r="A89" s="14"/>
      <c r="C89" s="14">
        <v>465407558</v>
      </c>
      <c r="D89" s="14" t="s">
        <v>518</v>
      </c>
      <c r="E89" s="282"/>
      <c r="F89" s="14"/>
      <c r="G89" s="14"/>
      <c r="H89" s="14"/>
      <c r="I89" s="14"/>
      <c r="J89" s="14"/>
      <c r="K89" s="14"/>
      <c r="L89" s="14"/>
      <c r="M89" s="14"/>
      <c r="N89" s="241"/>
      <c r="O89" s="14"/>
      <c r="P89" s="14"/>
      <c r="Q89" s="14"/>
      <c r="R89" s="14"/>
      <c r="S89" s="14"/>
      <c r="T89" s="14"/>
      <c r="U89" s="14"/>
      <c r="V89" s="243"/>
      <c r="W89" s="243"/>
      <c r="X89" s="243"/>
      <c r="Y89" s="243"/>
      <c r="Z89" s="243"/>
      <c r="AA89" s="14"/>
      <c r="AB89" s="14"/>
      <c r="AC89" s="14"/>
      <c r="AD89" s="14"/>
      <c r="AE89" s="14"/>
      <c r="AF89" s="14"/>
    </row>
    <row r="90" spans="1:32" s="116" customFormat="1" ht="20.100000000000001" customHeight="1">
      <c r="A90" s="14"/>
      <c r="C90" s="14">
        <v>37775617</v>
      </c>
      <c r="D90" s="14" t="s">
        <v>360</v>
      </c>
      <c r="E90" s="282" t="str">
        <f>"https://m.place.naver.com/place/" &amp;C90 &amp; "/home"</f>
        <v>https://m.place.naver.com/place/37775617/home</v>
      </c>
      <c r="F90" s="14"/>
      <c r="G90" s="14"/>
      <c r="H90" s="14"/>
      <c r="I90" s="14"/>
      <c r="J90" s="14"/>
      <c r="K90" s="14"/>
      <c r="L90" s="14"/>
      <c r="M90" s="14"/>
      <c r="N90" s="241"/>
      <c r="O90" s="14"/>
      <c r="P90" s="14"/>
      <c r="Q90" s="14"/>
      <c r="R90" s="14"/>
      <c r="S90" s="14"/>
      <c r="T90" s="14"/>
      <c r="U90" s="14"/>
      <c r="V90" s="243"/>
      <c r="W90" s="243"/>
      <c r="X90" s="243"/>
      <c r="Y90" s="243"/>
      <c r="Z90" s="243"/>
      <c r="AA90" s="14"/>
      <c r="AB90" s="14"/>
      <c r="AC90" s="14"/>
      <c r="AD90" s="14"/>
      <c r="AE90" s="14"/>
      <c r="AF90" s="14"/>
    </row>
    <row r="91" spans="1:32" s="116" customFormat="1" ht="20.100000000000001" customHeight="1">
      <c r="A91" s="14"/>
      <c r="C91" s="14">
        <v>2021830539</v>
      </c>
      <c r="D91" s="14" t="s">
        <v>349</v>
      </c>
      <c r="E91" s="282" t="s">
        <v>397</v>
      </c>
      <c r="F91" s="14"/>
      <c r="G91" s="14"/>
      <c r="H91" s="14"/>
      <c r="I91" s="14"/>
      <c r="J91" s="14"/>
      <c r="K91" s="14"/>
      <c r="L91" s="14"/>
      <c r="M91" s="14"/>
      <c r="N91" s="241"/>
      <c r="O91" s="14"/>
      <c r="P91" s="14"/>
      <c r="Q91" s="14"/>
      <c r="R91" s="14"/>
      <c r="S91" s="14"/>
      <c r="T91" s="14"/>
      <c r="U91" s="14"/>
      <c r="V91" s="243"/>
      <c r="W91" s="243"/>
      <c r="X91" s="243"/>
      <c r="Y91" s="243"/>
      <c r="Z91" s="243"/>
      <c r="AA91" s="14"/>
      <c r="AB91" s="14"/>
      <c r="AC91" s="14"/>
      <c r="AD91" s="14"/>
      <c r="AE91" s="14"/>
      <c r="AF91" s="14"/>
    </row>
    <row r="92" spans="1:32" s="116" customFormat="1" ht="20.100000000000001" customHeight="1">
      <c r="A92" s="14"/>
      <c r="C92" s="14">
        <v>1642603227</v>
      </c>
      <c r="D92" s="14" t="s">
        <v>211</v>
      </c>
      <c r="E92" s="282" t="s">
        <v>395</v>
      </c>
      <c r="F92" s="14"/>
      <c r="G92" s="14"/>
      <c r="H92" s="14"/>
      <c r="I92" s="14"/>
      <c r="J92" s="14"/>
      <c r="K92" s="14"/>
      <c r="L92" s="14"/>
      <c r="M92" s="14"/>
      <c r="N92" s="241"/>
      <c r="O92" s="14"/>
      <c r="P92" s="14"/>
      <c r="Q92" s="14"/>
      <c r="R92" s="14"/>
      <c r="S92" s="14"/>
      <c r="T92" s="14"/>
      <c r="U92" s="14"/>
      <c r="V92" s="243"/>
      <c r="W92" s="243"/>
      <c r="X92" s="243"/>
      <c r="Y92" s="243"/>
      <c r="Z92" s="243"/>
      <c r="AA92" s="14"/>
      <c r="AB92" s="14"/>
      <c r="AC92" s="14"/>
      <c r="AD92" s="14"/>
      <c r="AE92" s="14"/>
      <c r="AF92" s="14"/>
    </row>
    <row r="93" spans="1:32" s="116" customFormat="1" ht="20.100000000000001" customHeight="1">
      <c r="A93" s="14"/>
      <c r="C93" s="14"/>
      <c r="D93" s="14" t="s">
        <v>372</v>
      </c>
      <c r="E93" s="282"/>
      <c r="F93" s="14"/>
      <c r="G93" s="14"/>
      <c r="H93" s="14"/>
      <c r="I93" s="14"/>
      <c r="J93" s="14"/>
      <c r="K93" s="14"/>
      <c r="L93" s="14"/>
      <c r="M93" s="14"/>
      <c r="N93" s="241"/>
      <c r="O93" s="14"/>
      <c r="P93" s="14"/>
      <c r="Q93" s="14"/>
      <c r="R93" s="14"/>
      <c r="S93" s="14"/>
      <c r="T93" s="14"/>
      <c r="U93" s="14"/>
      <c r="V93" s="243"/>
      <c r="W93" s="243"/>
      <c r="X93" s="243"/>
      <c r="Y93" s="243"/>
      <c r="Z93" s="243"/>
      <c r="AA93" s="14"/>
      <c r="AB93" s="14"/>
      <c r="AC93" s="14"/>
      <c r="AD93" s="14"/>
      <c r="AE93" s="14"/>
      <c r="AF93" s="14"/>
    </row>
    <row r="94" spans="1:32" s="116" customFormat="1" ht="20.100000000000001" customHeight="1">
      <c r="A94" s="14"/>
      <c r="C94" s="14"/>
      <c r="D94" s="14" t="s">
        <v>564</v>
      </c>
      <c r="E94" s="282"/>
      <c r="F94" s="14"/>
      <c r="G94" s="14"/>
      <c r="H94" s="14"/>
      <c r="I94" s="14"/>
      <c r="J94" s="14"/>
      <c r="K94" s="14"/>
      <c r="L94" s="14"/>
      <c r="M94" s="14"/>
      <c r="N94" s="241"/>
      <c r="O94" s="14"/>
      <c r="P94" s="14"/>
      <c r="Q94" s="14"/>
      <c r="R94" s="14"/>
      <c r="S94" s="14"/>
      <c r="T94" s="14"/>
      <c r="U94" s="14"/>
      <c r="V94" s="243"/>
      <c r="W94" s="243"/>
      <c r="X94" s="243"/>
      <c r="Y94" s="243"/>
      <c r="Z94" s="243"/>
      <c r="AA94" s="14"/>
      <c r="AB94" s="14"/>
      <c r="AC94" s="14"/>
      <c r="AD94" s="14"/>
      <c r="AE94" s="14"/>
      <c r="AF94" s="14"/>
    </row>
    <row r="95" spans="1:32" s="116" customFormat="1" ht="20.100000000000001" customHeight="1">
      <c r="A95" s="14"/>
      <c r="C95" s="14"/>
      <c r="D95" s="14" t="s">
        <v>40</v>
      </c>
      <c r="E95" s="282"/>
      <c r="F95" s="14"/>
      <c r="G95" s="14"/>
      <c r="H95" s="14"/>
      <c r="I95" s="14"/>
      <c r="J95" s="14"/>
      <c r="K95" s="14"/>
      <c r="L95" s="14"/>
      <c r="M95" s="14"/>
      <c r="N95" s="241"/>
      <c r="O95" s="14"/>
      <c r="P95" s="14"/>
      <c r="Q95" s="14"/>
      <c r="R95" s="14"/>
      <c r="S95" s="14"/>
      <c r="T95" s="14"/>
      <c r="U95" s="14"/>
      <c r="V95" s="243"/>
      <c r="W95" s="243"/>
      <c r="X95" s="243"/>
      <c r="Y95" s="243"/>
      <c r="Z95" s="243"/>
      <c r="AA95" s="14"/>
      <c r="AB95" s="14"/>
      <c r="AC95" s="14"/>
      <c r="AD95" s="14"/>
      <c r="AE95" s="14"/>
      <c r="AF95" s="14"/>
    </row>
    <row r="96" spans="1:32" s="116" customFormat="1" ht="20.100000000000001" customHeight="1">
      <c r="A96" s="14"/>
      <c r="C96" s="14"/>
      <c r="D96" s="14" t="s">
        <v>18</v>
      </c>
      <c r="E96" s="282"/>
      <c r="F96" s="14"/>
      <c r="G96" s="14"/>
      <c r="H96" s="14"/>
      <c r="I96" s="14"/>
      <c r="J96" s="14"/>
      <c r="K96" s="14"/>
      <c r="L96" s="14"/>
      <c r="M96" s="14"/>
      <c r="N96" s="241"/>
      <c r="O96" s="14"/>
      <c r="P96" s="14"/>
      <c r="Q96" s="14"/>
      <c r="R96" s="14"/>
      <c r="S96" s="14"/>
      <c r="T96" s="14"/>
      <c r="U96" s="14"/>
      <c r="V96" s="243"/>
      <c r="W96" s="243"/>
      <c r="X96" s="243"/>
      <c r="Y96" s="243"/>
      <c r="Z96" s="243"/>
      <c r="AA96" s="14"/>
      <c r="AB96" s="14"/>
      <c r="AC96" s="14"/>
      <c r="AD96" s="14"/>
      <c r="AE96" s="14"/>
      <c r="AF96" s="14"/>
    </row>
    <row r="97" spans="1:35" s="116" customFormat="1" ht="20.100000000000001" customHeight="1">
      <c r="A97" s="14"/>
      <c r="C97" s="14"/>
      <c r="D97" s="14" t="s">
        <v>565</v>
      </c>
      <c r="E97" s="282"/>
      <c r="F97" s="14"/>
      <c r="G97" s="14"/>
      <c r="H97" s="14"/>
      <c r="I97" s="14"/>
      <c r="J97" s="14"/>
      <c r="K97" s="14"/>
      <c r="L97" s="14"/>
      <c r="M97" s="14"/>
      <c r="N97" s="241"/>
      <c r="O97" s="14"/>
      <c r="P97" s="14"/>
      <c r="Q97" s="14"/>
      <c r="R97" s="14"/>
      <c r="S97" s="14"/>
      <c r="T97" s="14"/>
      <c r="U97" s="14"/>
      <c r="V97" s="243"/>
      <c r="W97" s="243"/>
      <c r="X97" s="243"/>
      <c r="Y97" s="243"/>
      <c r="Z97" s="243"/>
      <c r="AA97" s="14"/>
      <c r="AB97" s="14"/>
      <c r="AC97" s="14"/>
      <c r="AD97" s="14"/>
      <c r="AE97" s="14"/>
      <c r="AF97" s="14"/>
    </row>
    <row r="98" spans="1:35" s="116" customFormat="1" ht="20.100000000000001" customHeight="1">
      <c r="A98" s="14"/>
      <c r="C98" s="14"/>
      <c r="D98" s="14" t="s">
        <v>165</v>
      </c>
      <c r="E98" s="282"/>
      <c r="F98" s="14"/>
      <c r="G98" s="14"/>
      <c r="H98" s="14"/>
      <c r="I98" s="14"/>
      <c r="J98" s="14"/>
      <c r="K98" s="14"/>
      <c r="L98" s="14"/>
      <c r="M98" s="14"/>
      <c r="N98" s="241"/>
      <c r="O98" s="14"/>
      <c r="P98" s="14"/>
      <c r="Q98" s="14"/>
      <c r="R98" s="14"/>
      <c r="S98" s="14"/>
      <c r="T98" s="14"/>
      <c r="U98" s="14"/>
      <c r="V98" s="243"/>
      <c r="W98" s="243"/>
      <c r="X98" s="243"/>
      <c r="Y98" s="243"/>
      <c r="Z98" s="243"/>
      <c r="AA98" s="14"/>
      <c r="AB98" s="14"/>
      <c r="AC98" s="14"/>
      <c r="AD98" s="14"/>
      <c r="AE98" s="14"/>
      <c r="AF98" s="14"/>
    </row>
    <row r="99" spans="1:35" s="116" customFormat="1" ht="20.100000000000001" customHeight="1">
      <c r="A99" s="14"/>
      <c r="C99" s="14"/>
      <c r="D99" s="14" t="s">
        <v>349</v>
      </c>
      <c r="E99" s="282"/>
      <c r="F99" s="14"/>
      <c r="G99" s="14"/>
      <c r="H99" s="14"/>
      <c r="I99" s="14"/>
      <c r="J99" s="14"/>
      <c r="K99" s="14"/>
      <c r="L99" s="14"/>
      <c r="M99" s="14"/>
      <c r="N99" s="241"/>
      <c r="O99" s="14"/>
      <c r="P99" s="14"/>
      <c r="Q99" s="14"/>
      <c r="R99" s="14"/>
      <c r="S99" s="14"/>
      <c r="T99" s="14"/>
      <c r="U99" s="14"/>
      <c r="V99" s="243"/>
      <c r="W99" s="243"/>
      <c r="X99" s="243"/>
      <c r="Y99" s="243"/>
      <c r="Z99" s="243"/>
      <c r="AA99" s="14"/>
      <c r="AB99" s="14"/>
      <c r="AC99" s="14"/>
      <c r="AD99" s="14"/>
      <c r="AE99" s="14"/>
      <c r="AF99" s="14"/>
    </row>
    <row r="100" spans="1:35" s="116" customFormat="1" ht="20.100000000000001" customHeight="1">
      <c r="A100" s="14"/>
      <c r="C100" s="14"/>
      <c r="D100" s="14" t="s">
        <v>173</v>
      </c>
      <c r="E100" s="282"/>
      <c r="F100" s="14"/>
      <c r="G100" s="14"/>
      <c r="H100" s="14"/>
      <c r="I100" s="14"/>
      <c r="J100" s="14"/>
      <c r="K100" s="14"/>
      <c r="L100" s="14"/>
      <c r="M100" s="14"/>
      <c r="N100" s="241"/>
      <c r="O100" s="14"/>
      <c r="P100" s="14"/>
      <c r="Q100" s="14"/>
      <c r="R100" s="14"/>
      <c r="S100" s="14"/>
      <c r="T100" s="14"/>
      <c r="U100" s="14"/>
      <c r="V100" s="243"/>
      <c r="W100" s="243"/>
      <c r="X100" s="243"/>
      <c r="Y100" s="243"/>
      <c r="Z100" s="243"/>
      <c r="AA100" s="14"/>
      <c r="AB100" s="14"/>
      <c r="AC100" s="14"/>
      <c r="AD100" s="14"/>
      <c r="AE100" s="14"/>
      <c r="AF100" s="14"/>
    </row>
    <row r="101" spans="1:35" s="116" customFormat="1" ht="20.100000000000001" customHeight="1">
      <c r="A101" s="14"/>
      <c r="C101" s="14"/>
      <c r="D101" s="14"/>
      <c r="E101" s="282"/>
      <c r="F101" s="14"/>
      <c r="G101" s="14"/>
      <c r="H101" s="14"/>
      <c r="I101" s="14"/>
      <c r="J101" s="14"/>
      <c r="K101" s="14"/>
      <c r="L101" s="14"/>
      <c r="M101" s="14"/>
      <c r="N101" s="241"/>
      <c r="O101" s="14"/>
      <c r="P101" s="14"/>
      <c r="Q101" s="14"/>
      <c r="R101" s="14"/>
      <c r="S101" s="14"/>
      <c r="T101" s="14"/>
      <c r="U101" s="14"/>
      <c r="V101" s="243"/>
      <c r="W101" s="243"/>
      <c r="X101" s="243"/>
      <c r="Y101" s="243"/>
      <c r="Z101" s="243"/>
      <c r="AA101" s="14"/>
      <c r="AB101" s="14"/>
      <c r="AC101" s="14"/>
      <c r="AD101" s="14"/>
      <c r="AE101" s="14"/>
      <c r="AF101" s="14"/>
    </row>
    <row r="102" spans="1:35" s="116" customFormat="1" ht="20.100000000000001" customHeight="1">
      <c r="A102" s="14"/>
      <c r="C102" s="14"/>
      <c r="D102" s="14"/>
      <c r="E102" s="282"/>
      <c r="F102" s="14"/>
      <c r="G102" s="14"/>
      <c r="H102" s="14"/>
      <c r="I102" s="14"/>
      <c r="J102" s="14"/>
      <c r="K102" s="14"/>
      <c r="L102" s="14"/>
      <c r="M102" s="14"/>
      <c r="N102" s="241"/>
      <c r="O102" s="14"/>
      <c r="P102" s="14"/>
      <c r="Q102" s="14"/>
      <c r="R102" s="14"/>
      <c r="S102" s="14"/>
      <c r="T102" s="14"/>
      <c r="U102" s="14"/>
      <c r="V102" s="243"/>
      <c r="W102" s="243"/>
      <c r="X102" s="243"/>
      <c r="Y102" s="243"/>
      <c r="Z102" s="243"/>
      <c r="AA102" s="14"/>
      <c r="AB102" s="14"/>
      <c r="AC102" s="14"/>
      <c r="AD102" s="14"/>
      <c r="AE102" s="14"/>
      <c r="AF102" s="14"/>
    </row>
    <row r="103" spans="1:35" s="116" customFormat="1" ht="20.100000000000001" customHeight="1">
      <c r="A103" s="14"/>
      <c r="C103" s="14"/>
      <c r="D103" s="14"/>
      <c r="E103" s="282"/>
      <c r="F103" s="14"/>
      <c r="G103" s="14"/>
      <c r="H103" s="14"/>
      <c r="I103" s="14"/>
      <c r="J103" s="14"/>
      <c r="K103" s="14"/>
      <c r="L103" s="14"/>
      <c r="M103" s="14"/>
      <c r="N103" s="241"/>
      <c r="O103" s="14"/>
      <c r="P103" s="14"/>
      <c r="Q103" s="14"/>
      <c r="R103" s="14"/>
      <c r="S103" s="14"/>
      <c r="T103" s="14"/>
      <c r="U103" s="14"/>
      <c r="V103" s="243"/>
      <c r="W103" s="243"/>
      <c r="X103" s="243"/>
      <c r="Y103" s="243"/>
      <c r="Z103" s="243"/>
      <c r="AA103" s="14"/>
      <c r="AB103" s="14"/>
      <c r="AC103" s="14"/>
      <c r="AD103" s="14"/>
      <c r="AE103" s="14"/>
      <c r="AF103" s="14"/>
    </row>
    <row r="104" spans="1:35" s="116" customFormat="1" ht="20.100000000000001" customHeight="1">
      <c r="A104" s="14"/>
      <c r="C104" s="14"/>
      <c r="D104" s="14"/>
      <c r="E104" s="282"/>
      <c r="F104" s="14"/>
      <c r="G104" s="14"/>
      <c r="H104" s="14"/>
      <c r="I104" s="14"/>
      <c r="J104" s="14"/>
      <c r="K104" s="14"/>
      <c r="L104" s="14"/>
      <c r="M104" s="14"/>
      <c r="N104" s="241"/>
      <c r="O104" s="14"/>
      <c r="P104" s="14"/>
      <c r="Q104" s="14"/>
      <c r="R104" s="14"/>
      <c r="S104" s="14"/>
      <c r="T104" s="14"/>
      <c r="U104" s="14"/>
      <c r="V104" s="243"/>
      <c r="W104" s="243"/>
      <c r="X104" s="243"/>
      <c r="Y104" s="243"/>
      <c r="Z104" s="243"/>
      <c r="AA104" s="14"/>
      <c r="AB104" s="14"/>
      <c r="AC104" s="14"/>
      <c r="AD104" s="14"/>
      <c r="AE104" s="14"/>
      <c r="AF104" s="14"/>
    </row>
    <row r="105" spans="1:35" s="116" customFormat="1" ht="20.100000000000001" customHeight="1">
      <c r="A105" s="14"/>
      <c r="C105" s="14"/>
      <c r="D105" s="14" t="s">
        <v>125</v>
      </c>
      <c r="E105" s="282"/>
      <c r="F105" s="14"/>
      <c r="G105" s="14"/>
      <c r="H105" s="14"/>
      <c r="I105" s="14"/>
      <c r="J105" s="14"/>
      <c r="K105" s="14"/>
      <c r="L105" s="14"/>
      <c r="M105" s="14"/>
      <c r="N105" s="241"/>
      <c r="O105" s="14"/>
      <c r="P105" s="14"/>
      <c r="Q105" s="14"/>
      <c r="R105" s="14"/>
      <c r="S105" s="14"/>
      <c r="T105" s="14"/>
      <c r="U105" s="14"/>
      <c r="V105" s="243"/>
      <c r="W105" s="243"/>
      <c r="X105" s="243"/>
      <c r="Y105" s="243"/>
      <c r="Z105" s="243"/>
      <c r="AA105" s="14"/>
      <c r="AB105" s="14"/>
      <c r="AC105" s="14"/>
      <c r="AD105" s="14"/>
      <c r="AE105" s="14"/>
      <c r="AF105" s="14"/>
      <c r="AI105" s="116">
        <v>64680</v>
      </c>
    </row>
    <row r="106" spans="1:35" s="116" customFormat="1" ht="20.100000000000001" customHeight="1">
      <c r="A106" s="14"/>
      <c r="C106" s="14"/>
      <c r="D106" s="14" t="s">
        <v>49</v>
      </c>
      <c r="E106" s="282"/>
      <c r="F106" s="14"/>
      <c r="G106" s="14"/>
      <c r="H106" s="14"/>
      <c r="I106" s="14"/>
      <c r="J106" s="14"/>
      <c r="K106" s="14"/>
      <c r="L106" s="14"/>
      <c r="M106" s="14"/>
      <c r="N106" s="241"/>
      <c r="O106" s="14"/>
      <c r="P106" s="14"/>
      <c r="Q106" s="14"/>
      <c r="R106" s="14"/>
      <c r="S106" s="14"/>
      <c r="T106" s="14"/>
      <c r="U106" s="14"/>
      <c r="V106" s="243"/>
      <c r="W106" s="243"/>
      <c r="X106" s="243"/>
      <c r="Y106" s="243"/>
      <c r="Z106" s="243"/>
      <c r="AA106" s="14"/>
      <c r="AB106" s="14"/>
      <c r="AC106" s="14"/>
      <c r="AD106" s="14"/>
      <c r="AE106" s="14"/>
      <c r="AF106" s="14"/>
    </row>
    <row r="107" spans="1:35" s="116" customFormat="1" ht="20.100000000000001" customHeight="1">
      <c r="A107" s="14"/>
      <c r="C107" s="14"/>
      <c r="D107" s="14"/>
      <c r="E107" s="282"/>
      <c r="F107" s="14"/>
      <c r="G107" s="14"/>
      <c r="H107" s="14"/>
      <c r="I107" s="14"/>
      <c r="J107" s="14"/>
      <c r="K107" s="14"/>
      <c r="L107" s="14"/>
      <c r="M107" s="14"/>
      <c r="N107" s="241"/>
      <c r="O107" s="14"/>
      <c r="P107" s="14"/>
      <c r="Q107" s="14"/>
      <c r="R107" s="14"/>
      <c r="S107" s="14"/>
      <c r="T107" s="14"/>
      <c r="U107" s="14"/>
      <c r="V107" s="243"/>
      <c r="W107" s="243"/>
      <c r="X107" s="243"/>
      <c r="Y107" s="243"/>
      <c r="Z107" s="243"/>
      <c r="AA107" s="14"/>
      <c r="AB107" s="14"/>
      <c r="AC107" s="14"/>
      <c r="AD107" s="14"/>
      <c r="AE107" s="14"/>
      <c r="AF107" s="14"/>
    </row>
    <row r="108" spans="1:35" s="116" customFormat="1" ht="20.100000000000001" customHeight="1">
      <c r="A108" s="14"/>
      <c r="C108" s="14"/>
      <c r="D108" s="14" t="s">
        <v>134</v>
      </c>
      <c r="E108" s="282"/>
      <c r="F108" s="14"/>
      <c r="G108" s="14"/>
      <c r="H108" s="14"/>
      <c r="I108" s="14"/>
      <c r="J108" s="14"/>
      <c r="K108" s="14"/>
      <c r="L108" s="14"/>
      <c r="M108" s="14"/>
      <c r="N108" s="241"/>
      <c r="O108" s="14"/>
      <c r="P108" s="14"/>
      <c r="Q108" s="14"/>
      <c r="R108" s="14"/>
      <c r="S108" s="14"/>
      <c r="T108" s="14"/>
      <c r="U108" s="14"/>
      <c r="V108" s="243"/>
      <c r="W108" s="243"/>
      <c r="X108" s="243"/>
      <c r="Y108" s="243"/>
      <c r="Z108" s="243"/>
      <c r="AA108" s="14"/>
      <c r="AB108" s="14"/>
      <c r="AC108" s="14"/>
      <c r="AD108" s="14"/>
      <c r="AE108" s="14"/>
      <c r="AF108" s="14"/>
    </row>
    <row r="109" spans="1:35" s="116" customFormat="1" ht="20.100000000000001" customHeight="1">
      <c r="A109" s="14"/>
      <c r="C109" s="14"/>
      <c r="D109" s="14" t="s">
        <v>135</v>
      </c>
      <c r="E109" s="282"/>
      <c r="F109" s="14"/>
      <c r="G109" s="14"/>
      <c r="H109" s="14"/>
      <c r="I109" s="14"/>
      <c r="J109" s="14"/>
      <c r="K109" s="14"/>
      <c r="L109" s="14"/>
      <c r="M109" s="14"/>
      <c r="N109" s="241"/>
      <c r="O109" s="14"/>
      <c r="P109" s="14"/>
      <c r="Q109" s="14"/>
      <c r="R109" s="14"/>
      <c r="S109" s="14"/>
      <c r="T109" s="14"/>
      <c r="U109" s="14"/>
      <c r="V109" s="243"/>
      <c r="W109" s="243"/>
      <c r="X109" s="243"/>
      <c r="Y109" s="243"/>
      <c r="Z109" s="243"/>
      <c r="AA109" s="14"/>
      <c r="AB109" s="14"/>
      <c r="AC109" s="14"/>
      <c r="AD109" s="14"/>
      <c r="AE109" s="14"/>
      <c r="AF109" s="14"/>
    </row>
    <row r="110" spans="1:35" s="116" customFormat="1" ht="20.100000000000001" customHeight="1">
      <c r="A110" s="14"/>
      <c r="C110" s="14"/>
      <c r="D110" s="14"/>
      <c r="E110" s="282"/>
      <c r="F110" s="14"/>
      <c r="G110" s="14"/>
      <c r="H110" s="14"/>
      <c r="I110" s="14"/>
      <c r="J110" s="14"/>
      <c r="K110" s="14"/>
      <c r="L110" s="14"/>
      <c r="M110" s="14"/>
      <c r="N110" s="241"/>
      <c r="O110" s="14"/>
      <c r="P110" s="14"/>
      <c r="Q110" s="14"/>
      <c r="R110" s="14"/>
      <c r="S110" s="14"/>
      <c r="T110" s="14"/>
      <c r="U110" s="14"/>
      <c r="V110" s="243"/>
      <c r="W110" s="243"/>
      <c r="X110" s="243"/>
      <c r="Y110" s="243"/>
      <c r="Z110" s="243"/>
      <c r="AA110" s="14"/>
      <c r="AB110" s="14"/>
      <c r="AC110" s="14"/>
      <c r="AD110" s="14"/>
      <c r="AE110" s="14"/>
      <c r="AF110" s="14"/>
    </row>
    <row r="111" spans="1:35" s="116" customFormat="1" ht="20.100000000000001" customHeight="1">
      <c r="A111" s="14"/>
      <c r="C111" s="14"/>
      <c r="D111" s="14" t="s">
        <v>69</v>
      </c>
      <c r="E111" s="282"/>
      <c r="F111" s="14"/>
      <c r="G111" s="14"/>
      <c r="H111" s="14"/>
      <c r="I111" s="14"/>
      <c r="J111" s="14"/>
      <c r="K111" s="14"/>
      <c r="L111" s="14"/>
      <c r="M111" s="14"/>
      <c r="N111" s="241"/>
      <c r="O111" s="14"/>
      <c r="P111" s="14"/>
      <c r="Q111" s="14"/>
      <c r="R111" s="14"/>
      <c r="S111" s="14"/>
      <c r="T111" s="14"/>
      <c r="U111" s="14"/>
      <c r="V111" s="243"/>
      <c r="W111" s="243"/>
      <c r="X111" s="243"/>
      <c r="Y111" s="243"/>
      <c r="Z111" s="243"/>
      <c r="AA111" s="14"/>
      <c r="AB111" s="14"/>
      <c r="AC111" s="14"/>
      <c r="AD111" s="14"/>
      <c r="AE111" s="14"/>
      <c r="AF111" s="14"/>
    </row>
    <row r="112" spans="1:35" s="116" customFormat="1" ht="20.100000000000001" customHeight="1">
      <c r="A112" s="14"/>
      <c r="C112" s="14"/>
      <c r="D112" s="14"/>
      <c r="E112" s="282"/>
      <c r="F112" s="14"/>
      <c r="G112" s="14"/>
      <c r="H112" s="14"/>
      <c r="I112" s="14"/>
      <c r="J112" s="14"/>
      <c r="K112" s="14"/>
      <c r="L112" s="14"/>
      <c r="M112" s="14"/>
      <c r="N112" s="241"/>
      <c r="O112" s="14"/>
      <c r="P112" s="14"/>
      <c r="Q112" s="14"/>
      <c r="R112" s="14"/>
      <c r="S112" s="14"/>
      <c r="T112" s="14"/>
      <c r="U112" s="14"/>
      <c r="V112" s="243"/>
      <c r="W112" s="243"/>
      <c r="X112" s="243"/>
      <c r="Y112" s="243"/>
      <c r="Z112" s="243"/>
      <c r="AA112" s="14"/>
      <c r="AB112" s="14"/>
      <c r="AC112" s="14"/>
      <c r="AD112" s="14"/>
      <c r="AE112" s="14"/>
      <c r="AF112" s="14"/>
    </row>
    <row r="113" spans="1:32" s="116" customFormat="1" ht="20.100000000000001" customHeight="1">
      <c r="A113" s="14"/>
      <c r="C113" s="14"/>
      <c r="D113" s="14"/>
      <c r="E113" s="282"/>
      <c r="F113" s="14"/>
      <c r="G113" s="14"/>
      <c r="H113" s="14"/>
      <c r="I113" s="14"/>
      <c r="J113" s="14"/>
      <c r="K113" s="14"/>
      <c r="L113" s="14"/>
      <c r="M113" s="14"/>
      <c r="N113" s="241"/>
      <c r="O113" s="14"/>
      <c r="P113" s="14"/>
      <c r="Q113" s="14"/>
      <c r="R113" s="14"/>
      <c r="S113" s="14"/>
      <c r="T113" s="14"/>
      <c r="U113" s="14"/>
      <c r="V113" s="243"/>
      <c r="W113" s="243"/>
      <c r="X113" s="243"/>
      <c r="Y113" s="243"/>
      <c r="Z113" s="243"/>
      <c r="AA113" s="14"/>
      <c r="AB113" s="14"/>
      <c r="AC113" s="14"/>
      <c r="AD113" s="14"/>
      <c r="AE113" s="14"/>
      <c r="AF113" s="14"/>
    </row>
    <row r="114" spans="1:32" s="116" customFormat="1" ht="20.100000000000001" customHeight="1">
      <c r="A114" s="14"/>
      <c r="C114" s="14"/>
      <c r="D114" s="14" t="s">
        <v>133</v>
      </c>
      <c r="E114" s="282"/>
      <c r="F114" s="14"/>
      <c r="G114" s="14"/>
      <c r="H114" s="14"/>
      <c r="I114" s="14"/>
      <c r="J114" s="14"/>
      <c r="K114" s="14"/>
      <c r="L114" s="14"/>
      <c r="M114" s="14"/>
      <c r="N114" s="241"/>
      <c r="O114" s="14"/>
      <c r="P114" s="14"/>
      <c r="Q114" s="14"/>
      <c r="R114" s="14"/>
      <c r="S114" s="14"/>
      <c r="T114" s="14"/>
      <c r="U114" s="14"/>
      <c r="V114" s="243"/>
      <c r="W114" s="243"/>
      <c r="X114" s="243"/>
      <c r="Y114" s="243"/>
      <c r="Z114" s="243"/>
      <c r="AA114" s="14"/>
      <c r="AB114" s="14"/>
      <c r="AC114" s="14"/>
      <c r="AD114" s="14"/>
      <c r="AE114" s="14"/>
      <c r="AF114" s="14"/>
    </row>
    <row r="115" spans="1:32" s="116" customFormat="1" ht="20.100000000000001" customHeight="1">
      <c r="A115" s="14"/>
      <c r="C115" s="14"/>
      <c r="D115" s="14" t="s">
        <v>131</v>
      </c>
      <c r="E115" s="282"/>
      <c r="F115" s="14"/>
      <c r="G115" s="14"/>
      <c r="H115" s="14"/>
      <c r="I115" s="14"/>
      <c r="J115" s="14"/>
      <c r="K115" s="14"/>
      <c r="L115" s="14"/>
      <c r="M115" s="14"/>
      <c r="N115" s="241"/>
      <c r="O115" s="14"/>
      <c r="P115" s="14"/>
      <c r="Q115" s="14"/>
      <c r="R115" s="14"/>
      <c r="S115" s="14"/>
      <c r="T115" s="14"/>
      <c r="U115" s="14"/>
      <c r="V115" s="243"/>
      <c r="W115" s="243"/>
      <c r="X115" s="243"/>
      <c r="Y115" s="243"/>
      <c r="Z115" s="243"/>
      <c r="AA115" s="14"/>
      <c r="AB115" s="14"/>
      <c r="AC115" s="14"/>
      <c r="AD115" s="14"/>
      <c r="AE115" s="14"/>
      <c r="AF115" s="14"/>
    </row>
    <row r="116" spans="1:32" s="116" customFormat="1" ht="20.100000000000001" customHeight="1">
      <c r="A116" s="14"/>
      <c r="C116" s="14"/>
      <c r="D116" s="14" t="s">
        <v>132</v>
      </c>
      <c r="E116" s="282"/>
      <c r="F116" s="14"/>
      <c r="G116" s="14"/>
      <c r="H116" s="14"/>
      <c r="I116" s="14"/>
      <c r="J116" s="14"/>
      <c r="K116" s="14"/>
      <c r="L116" s="14"/>
      <c r="M116" s="14"/>
      <c r="N116" s="241"/>
      <c r="O116" s="14"/>
      <c r="P116" s="14"/>
      <c r="Q116" s="14"/>
      <c r="R116" s="14"/>
      <c r="S116" s="14"/>
      <c r="T116" s="14"/>
      <c r="U116" s="14"/>
      <c r="V116" s="243"/>
      <c r="W116" s="243"/>
      <c r="X116" s="243"/>
      <c r="Y116" s="243"/>
      <c r="Z116" s="243"/>
      <c r="AA116" s="14"/>
      <c r="AB116" s="14"/>
      <c r="AC116" s="14"/>
      <c r="AD116" s="14"/>
      <c r="AE116" s="14"/>
      <c r="AF116" s="14"/>
    </row>
    <row r="117" spans="1:32" s="116" customFormat="1" ht="20.100000000000001" customHeight="1">
      <c r="A117" s="14"/>
      <c r="C117" s="14"/>
      <c r="D117" s="14"/>
      <c r="E117" s="282"/>
      <c r="F117" s="14"/>
      <c r="G117" s="14"/>
      <c r="H117" s="14"/>
      <c r="I117" s="14"/>
      <c r="J117" s="14"/>
      <c r="K117" s="14"/>
      <c r="L117" s="14"/>
      <c r="M117" s="14"/>
      <c r="N117" s="241"/>
      <c r="O117" s="14"/>
      <c r="P117" s="14"/>
      <c r="Q117" s="14"/>
      <c r="R117" s="14"/>
      <c r="S117" s="14"/>
      <c r="T117" s="14"/>
      <c r="U117" s="14"/>
      <c r="V117" s="243"/>
      <c r="W117" s="243"/>
      <c r="X117" s="243"/>
      <c r="Y117" s="243"/>
      <c r="Z117" s="243"/>
      <c r="AA117" s="14"/>
      <c r="AB117" s="14"/>
      <c r="AC117" s="14"/>
      <c r="AD117" s="14"/>
      <c r="AE117" s="14"/>
      <c r="AF117" s="14"/>
    </row>
    <row r="118" spans="1:32" s="116" customFormat="1" ht="20.100000000000001" customHeight="1">
      <c r="A118" s="14"/>
      <c r="C118" s="14"/>
      <c r="D118" s="14"/>
      <c r="E118" s="282"/>
      <c r="F118" s="14"/>
      <c r="G118" s="14"/>
      <c r="H118" s="14"/>
      <c r="I118" s="14"/>
      <c r="J118" s="14"/>
      <c r="K118" s="14"/>
      <c r="L118" s="14"/>
      <c r="M118" s="14"/>
      <c r="N118" s="241"/>
      <c r="O118" s="14"/>
      <c r="P118" s="14"/>
      <c r="Q118" s="14"/>
      <c r="R118" s="14"/>
      <c r="S118" s="14"/>
      <c r="T118" s="14"/>
      <c r="U118" s="14"/>
      <c r="V118" s="243"/>
      <c r="W118" s="243"/>
      <c r="X118" s="243"/>
      <c r="Y118" s="243"/>
      <c r="Z118" s="243"/>
      <c r="AA118" s="14"/>
      <c r="AB118" s="14"/>
      <c r="AC118" s="14"/>
      <c r="AD118" s="14"/>
      <c r="AE118" s="14"/>
      <c r="AF118" s="14"/>
    </row>
    <row r="119" spans="1:32" s="116" customFormat="1" ht="20.100000000000001" customHeight="1">
      <c r="A119" s="14"/>
      <c r="C119" s="14"/>
      <c r="D119" s="14"/>
      <c r="E119" s="282"/>
      <c r="F119" s="14"/>
      <c r="G119" s="14"/>
      <c r="H119" s="14"/>
      <c r="I119" s="14"/>
      <c r="J119" s="14"/>
      <c r="K119" s="14"/>
      <c r="L119" s="14"/>
      <c r="M119" s="14"/>
      <c r="N119" s="241"/>
      <c r="O119" s="14"/>
      <c r="P119" s="14"/>
      <c r="Q119" s="14"/>
      <c r="R119" s="14"/>
      <c r="S119" s="14"/>
      <c r="T119" s="14"/>
      <c r="U119" s="14"/>
      <c r="V119" s="243"/>
      <c r="W119" s="243"/>
      <c r="X119" s="243"/>
      <c r="Y119" s="243"/>
      <c r="Z119" s="243"/>
      <c r="AA119" s="14"/>
      <c r="AB119" s="14"/>
      <c r="AC119" s="14"/>
      <c r="AD119" s="14"/>
      <c r="AE119" s="14"/>
      <c r="AF119" s="14"/>
    </row>
    <row r="120" spans="1:32" s="116" customFormat="1" ht="20.100000000000001" customHeight="1">
      <c r="A120" s="14"/>
      <c r="C120" s="14"/>
      <c r="D120" s="14"/>
      <c r="E120" s="282"/>
      <c r="F120" s="14"/>
      <c r="G120" s="14"/>
      <c r="H120" s="14"/>
      <c r="I120" s="14"/>
      <c r="J120" s="14"/>
      <c r="K120" s="14"/>
      <c r="L120" s="14"/>
      <c r="M120" s="14"/>
      <c r="N120" s="241"/>
      <c r="O120" s="14"/>
      <c r="P120" s="14"/>
      <c r="Q120" s="14"/>
      <c r="R120" s="14"/>
      <c r="S120" s="14"/>
      <c r="T120" s="14"/>
      <c r="U120" s="14"/>
      <c r="V120" s="243"/>
      <c r="W120" s="243"/>
      <c r="X120" s="243"/>
      <c r="Y120" s="243"/>
      <c r="Z120" s="243"/>
      <c r="AA120" s="14"/>
      <c r="AB120" s="14"/>
      <c r="AC120" s="14"/>
      <c r="AD120" s="14"/>
      <c r="AE120" s="14"/>
      <c r="AF120" s="14"/>
    </row>
    <row r="121" spans="1:32" s="116" customFormat="1" ht="20.100000000000001" customHeight="1">
      <c r="A121" s="14"/>
      <c r="C121" s="14"/>
      <c r="D121" s="14"/>
      <c r="E121" s="282"/>
      <c r="F121" s="14"/>
      <c r="G121" s="14"/>
      <c r="H121" s="14"/>
      <c r="I121" s="14"/>
      <c r="J121" s="14"/>
      <c r="K121" s="14"/>
      <c r="L121" s="14"/>
      <c r="M121" s="14"/>
      <c r="N121" s="241"/>
      <c r="O121" s="14"/>
      <c r="P121" s="14"/>
      <c r="Q121" s="14"/>
      <c r="R121" s="14"/>
      <c r="S121" s="14"/>
      <c r="T121" s="14"/>
      <c r="U121" s="14"/>
      <c r="V121" s="243"/>
      <c r="W121" s="243"/>
      <c r="X121" s="243"/>
      <c r="Y121" s="243"/>
      <c r="Z121" s="243"/>
      <c r="AA121" s="14"/>
      <c r="AB121" s="14"/>
      <c r="AC121" s="14"/>
      <c r="AD121" s="14"/>
      <c r="AE121" s="14"/>
      <c r="AF121" s="14"/>
    </row>
  </sheetData>
  <phoneticPr fontId="1" type="noConversion"/>
  <hyperlinks>
    <hyperlink ref="E39" r:id="rId1" xr:uid="{BDC4EB41-541C-4F73-A70F-0780503711CA}"/>
    <hyperlink ref="E40" r:id="rId2" xr:uid="{060A33CD-A4AC-4F1E-BBD6-AAE986930BD0}"/>
    <hyperlink ref="E41" r:id="rId3" xr:uid="{A27B52EB-C6FF-4495-835A-A7A15BDEA272}"/>
    <hyperlink ref="E33" r:id="rId4" xr:uid="{009E58C8-8A52-48A9-96BD-07569DF5D24D}"/>
    <hyperlink ref="E58" r:id="rId5" display="https://m.place.naver.com/hairshop/1509576334/home" xr:uid="{51B3857E-81D1-4654-B158-A3291D3371AD}"/>
    <hyperlink ref="E32" r:id="rId6" xr:uid="{6F9E2B25-0A64-43F7-9175-61F11158EA59}"/>
    <hyperlink ref="E70" r:id="rId7" xr:uid="{CA2A42DD-1D21-4050-AB8A-E3406FA8E8D5}"/>
  </hyperlinks>
  <pageMargins left="0.7" right="0.7" top="0.75" bottom="0.75" header="0.3" footer="0.3"/>
  <pageSetup paperSize="9" orientation="portrait" r:id="rId8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0E0D-5209-424F-9C6A-E57D39325829}">
  <dimension ref="A1:AM116"/>
  <sheetViews>
    <sheetView zoomScale="85" zoomScaleNormal="85" workbookViewId="0">
      <pane ySplit="3" topLeftCell="A37" activePane="bottomLeft" state="frozen"/>
      <selection activeCell="D1" sqref="D1"/>
      <selection pane="bottomLeft" activeCell="H49" sqref="H49"/>
    </sheetView>
  </sheetViews>
  <sheetFormatPr defaultRowHeight="16.5"/>
  <cols>
    <col min="1" max="1" width="7.375" bestFit="1" customWidth="1"/>
    <col min="2" max="2" width="9.875" customWidth="1"/>
    <col min="3" max="3" width="7.375" customWidth="1"/>
    <col min="4" max="4" width="20.25" style="15" customWidth="1"/>
    <col min="5" max="5" width="20.25" style="15" bestFit="1" customWidth="1"/>
    <col min="6" max="6" width="13.875" style="15" customWidth="1"/>
    <col min="7" max="7" width="20.25" style="15" customWidth="1"/>
    <col min="8" max="11" width="9" customWidth="1"/>
    <col min="12" max="13" width="12.5" style="2" customWidth="1"/>
    <col min="14" max="15" width="10.875" style="2" customWidth="1"/>
    <col min="16" max="16" width="8.875" style="15" customWidth="1"/>
    <col min="17" max="17" width="13.5" style="2" customWidth="1"/>
    <col min="18" max="18" width="9.25" style="2" customWidth="1"/>
    <col min="19" max="19" width="10" style="2" customWidth="1"/>
    <col min="20" max="20" width="8.25" style="15" bestFit="1" customWidth="1"/>
    <col min="21" max="21" width="8.25" style="15" customWidth="1"/>
    <col min="22" max="30" width="9" style="2"/>
    <col min="31" max="31" width="30.625" style="2" customWidth="1"/>
    <col min="32" max="33" width="20.25" style="15" customWidth="1"/>
    <col min="34" max="34" width="9" style="2" customWidth="1"/>
    <col min="35" max="35" width="9" style="2"/>
    <col min="36" max="37" width="15.125" style="15" customWidth="1"/>
    <col min="38" max="38" width="9" style="2" customWidth="1"/>
    <col min="39" max="39" width="9" style="2"/>
  </cols>
  <sheetData>
    <row r="1" spans="1:39">
      <c r="H1" s="2"/>
      <c r="I1" s="2"/>
      <c r="J1" s="2"/>
      <c r="K1" s="2"/>
      <c r="N1" s="15"/>
      <c r="P1" s="2"/>
      <c r="R1" s="15"/>
      <c r="S1" s="15"/>
      <c r="T1" s="2"/>
      <c r="U1" s="2"/>
      <c r="AD1" s="15"/>
      <c r="AE1" s="15"/>
      <c r="AJ1"/>
      <c r="AK1"/>
      <c r="AL1"/>
      <c r="AM1"/>
    </row>
    <row r="2" spans="1:39" ht="17.25" thickBot="1">
      <c r="H2" s="2"/>
      <c r="I2" s="2"/>
      <c r="J2" s="2"/>
      <c r="K2" s="2"/>
      <c r="N2" s="15"/>
      <c r="P2" s="2"/>
      <c r="R2" s="15"/>
      <c r="S2" s="15"/>
      <c r="T2" s="2"/>
      <c r="U2" s="2"/>
      <c r="AD2" s="15"/>
      <c r="AE2" s="15"/>
      <c r="AJ2"/>
      <c r="AK2"/>
      <c r="AL2"/>
      <c r="AM2"/>
    </row>
    <row r="3" spans="1:39" s="13" customFormat="1" ht="23.25" customHeight="1" thickBot="1">
      <c r="A3" s="115" t="s">
        <v>200</v>
      </c>
      <c r="B3" s="114"/>
      <c r="C3" s="114"/>
      <c r="D3" s="75" t="s">
        <v>427</v>
      </c>
      <c r="E3" s="59" t="s">
        <v>198</v>
      </c>
      <c r="F3" s="75" t="s">
        <v>426</v>
      </c>
      <c r="G3" s="75" t="s">
        <v>427</v>
      </c>
      <c r="H3" s="17" t="s">
        <v>75</v>
      </c>
      <c r="I3" s="62" t="s">
        <v>441</v>
      </c>
      <c r="J3" s="18" t="s">
        <v>439</v>
      </c>
      <c r="K3" s="59" t="s">
        <v>440</v>
      </c>
      <c r="L3" s="222" t="s">
        <v>371</v>
      </c>
      <c r="M3" s="222" t="s">
        <v>299</v>
      </c>
      <c r="N3" s="76" t="s">
        <v>300</v>
      </c>
      <c r="O3" s="62" t="s">
        <v>156</v>
      </c>
      <c r="P3" s="19" t="s">
        <v>121</v>
      </c>
      <c r="Q3" s="54" t="s">
        <v>54</v>
      </c>
      <c r="R3" s="202" t="s">
        <v>116</v>
      </c>
      <c r="S3" s="202" t="s">
        <v>339</v>
      </c>
      <c r="T3" s="55" t="s">
        <v>189</v>
      </c>
      <c r="U3" s="56" t="s">
        <v>53</v>
      </c>
      <c r="V3" s="225" t="s">
        <v>370</v>
      </c>
      <c r="W3" s="225" t="s">
        <v>373</v>
      </c>
      <c r="X3" s="225" t="s">
        <v>374</v>
      </c>
      <c r="Y3" s="66" t="s">
        <v>195</v>
      </c>
      <c r="Z3" s="227" t="s">
        <v>375</v>
      </c>
      <c r="AA3" s="227" t="s">
        <v>376</v>
      </c>
      <c r="AB3" s="67" t="s">
        <v>196</v>
      </c>
      <c r="AC3" s="68" t="s">
        <v>197</v>
      </c>
      <c r="AD3" s="75" t="s">
        <v>378</v>
      </c>
      <c r="AE3" s="75" t="s">
        <v>361</v>
      </c>
      <c r="AF3" s="75" t="s">
        <v>159</v>
      </c>
      <c r="AG3" s="75" t="s">
        <v>11</v>
      </c>
      <c r="AH3" s="19" t="s">
        <v>199</v>
      </c>
      <c r="AI3" s="15"/>
    </row>
    <row r="4" spans="1:39" s="13" customFormat="1" ht="23.25" customHeight="1" thickTop="1" thickBot="1">
      <c r="A4" s="115"/>
      <c r="B4" s="13">
        <v>251110</v>
      </c>
      <c r="C4" s="13" t="s">
        <v>436</v>
      </c>
      <c r="D4" s="15">
        <v>2064392403</v>
      </c>
      <c r="E4" s="13" t="s">
        <v>419</v>
      </c>
      <c r="F4" s="13" t="s">
        <v>420</v>
      </c>
      <c r="G4" s="15">
        <v>2064392403</v>
      </c>
      <c r="H4" s="16">
        <v>200</v>
      </c>
      <c r="I4" s="47"/>
      <c r="J4" s="47"/>
      <c r="K4" s="51"/>
      <c r="L4" s="15"/>
      <c r="M4" s="15"/>
      <c r="N4" s="78"/>
      <c r="O4" s="57">
        <v>100</v>
      </c>
      <c r="P4" s="57"/>
      <c r="Q4" s="214"/>
      <c r="R4" s="215"/>
      <c r="S4" s="216"/>
      <c r="T4" s="217"/>
      <c r="U4" s="218"/>
      <c r="V4" s="226"/>
      <c r="W4" s="226"/>
      <c r="X4" s="226"/>
      <c r="Y4" s="69"/>
      <c r="Z4" s="228"/>
      <c r="AA4" s="228"/>
      <c r="AB4" s="70"/>
      <c r="AC4" s="71"/>
      <c r="AD4" s="27"/>
      <c r="AE4" s="27"/>
      <c r="AF4" s="47"/>
      <c r="AG4" s="47"/>
      <c r="AH4" s="58"/>
      <c r="AI4" s="15"/>
    </row>
    <row r="5" spans="1:39" s="13" customFormat="1" ht="23.25" customHeight="1" thickTop="1" thickBot="1">
      <c r="A5" s="115"/>
      <c r="D5" s="15"/>
      <c r="E5" s="16"/>
      <c r="F5" s="27"/>
      <c r="G5" s="27"/>
      <c r="H5" s="64"/>
      <c r="I5" s="64"/>
      <c r="J5" s="14"/>
      <c r="K5" s="16"/>
      <c r="L5" s="15"/>
      <c r="M5" s="15"/>
      <c r="N5" s="78"/>
      <c r="O5" s="64"/>
      <c r="P5" s="57"/>
      <c r="Q5" s="214"/>
      <c r="R5" s="215"/>
      <c r="S5" s="216"/>
      <c r="T5" s="217"/>
      <c r="U5" s="218"/>
      <c r="V5" s="226"/>
      <c r="W5" s="226"/>
      <c r="X5" s="226"/>
      <c r="Y5" s="69"/>
      <c r="Z5" s="228"/>
      <c r="AA5" s="228"/>
      <c r="AB5" s="70"/>
      <c r="AC5" s="71"/>
      <c r="AD5" s="233"/>
      <c r="AE5" s="233"/>
      <c r="AF5" s="47"/>
      <c r="AG5" s="47"/>
      <c r="AH5" s="58"/>
      <c r="AI5" s="15"/>
    </row>
    <row r="6" spans="1:39" s="13" customFormat="1" ht="23.25" customHeight="1" thickTop="1" thickBot="1">
      <c r="A6" s="115"/>
      <c r="D6" s="15"/>
      <c r="E6" s="16" t="s">
        <v>442</v>
      </c>
      <c r="F6" s="27"/>
      <c r="G6" s="27"/>
      <c r="H6" s="64"/>
      <c r="I6" s="64">
        <v>200</v>
      </c>
      <c r="J6" s="14"/>
      <c r="K6" s="16"/>
      <c r="L6" s="15"/>
      <c r="M6" s="15"/>
      <c r="N6" s="78"/>
      <c r="O6" s="64"/>
      <c r="P6" s="57"/>
      <c r="Q6" s="214"/>
      <c r="R6" s="215"/>
      <c r="S6" s="216"/>
      <c r="T6" s="217"/>
      <c r="U6" s="218"/>
      <c r="V6" s="226"/>
      <c r="W6" s="226"/>
      <c r="X6" s="226"/>
      <c r="Y6" s="69"/>
      <c r="Z6" s="228"/>
      <c r="AA6" s="228"/>
      <c r="AB6" s="70"/>
      <c r="AC6" s="71"/>
      <c r="AD6" s="233"/>
      <c r="AE6" s="233"/>
      <c r="AF6" s="47"/>
      <c r="AG6" s="47"/>
      <c r="AH6" s="58"/>
      <c r="AI6" s="15"/>
    </row>
    <row r="7" spans="1:39" s="13" customFormat="1" ht="23.25" customHeight="1" thickTop="1" thickBot="1">
      <c r="A7" s="115"/>
      <c r="D7" s="15"/>
      <c r="G7" s="15"/>
      <c r="H7" s="16"/>
      <c r="I7" s="47"/>
      <c r="J7" s="47"/>
      <c r="K7" s="51"/>
      <c r="L7" s="15"/>
      <c r="M7" s="15"/>
      <c r="N7" s="78"/>
      <c r="O7" s="64"/>
      <c r="P7" s="57"/>
      <c r="Q7" s="214"/>
      <c r="R7" s="215"/>
      <c r="S7" s="216"/>
      <c r="T7" s="217"/>
      <c r="U7" s="218"/>
      <c r="V7" s="226"/>
      <c r="W7" s="226"/>
      <c r="X7" s="226"/>
      <c r="Y7" s="69"/>
      <c r="Z7" s="228"/>
      <c r="AA7" s="228"/>
      <c r="AB7" s="70"/>
      <c r="AC7" s="71"/>
      <c r="AD7" s="27"/>
      <c r="AE7" s="27"/>
      <c r="AF7" s="47"/>
      <c r="AG7" s="47"/>
      <c r="AH7" s="58"/>
      <c r="AI7" s="15"/>
    </row>
    <row r="8" spans="1:39" ht="17.25" thickTop="1">
      <c r="D8" s="15">
        <v>1282597447</v>
      </c>
      <c r="E8" s="13" t="s">
        <v>417</v>
      </c>
      <c r="F8" s="13" t="s">
        <v>418</v>
      </c>
      <c r="G8" s="15">
        <v>1282597447</v>
      </c>
      <c r="H8" s="16"/>
      <c r="I8" s="47"/>
      <c r="J8" s="47"/>
      <c r="K8" s="51">
        <v>300</v>
      </c>
      <c r="N8" s="15"/>
      <c r="P8" s="2"/>
      <c r="R8" s="15"/>
      <c r="S8" s="15"/>
      <c r="T8" s="2"/>
      <c r="U8" s="2"/>
      <c r="AD8" s="15"/>
      <c r="AE8" s="15"/>
      <c r="AF8" s="2"/>
      <c r="AG8" s="2"/>
      <c r="AH8" s="15"/>
      <c r="AI8" s="15"/>
      <c r="AJ8" s="2"/>
      <c r="AK8" s="2"/>
      <c r="AL8"/>
      <c r="AM8"/>
    </row>
    <row r="9" spans="1:39" s="13" customFormat="1" ht="20.100000000000001" customHeight="1" thickBot="1">
      <c r="D9" s="15">
        <v>1108685948</v>
      </c>
      <c r="E9" s="13" t="s">
        <v>415</v>
      </c>
      <c r="F9" s="13" t="s">
        <v>416</v>
      </c>
      <c r="G9" s="15">
        <v>1108685948</v>
      </c>
      <c r="H9" s="16"/>
      <c r="I9" s="47"/>
      <c r="J9" s="47"/>
      <c r="K9" s="51">
        <v>200</v>
      </c>
      <c r="L9" s="15"/>
      <c r="M9" s="15"/>
      <c r="N9" s="83"/>
      <c r="O9" s="64"/>
      <c r="P9" s="57"/>
      <c r="Q9" s="29"/>
      <c r="R9" s="14"/>
      <c r="S9" s="14"/>
      <c r="T9" s="14"/>
      <c r="U9" s="57"/>
      <c r="V9" s="15"/>
      <c r="W9" s="15"/>
      <c r="X9" s="15"/>
      <c r="Y9" s="69"/>
      <c r="Z9" s="228"/>
      <c r="AA9" s="228"/>
      <c r="AB9" s="70"/>
      <c r="AC9" s="71"/>
      <c r="AD9" s="27"/>
      <c r="AE9" s="27"/>
      <c r="AF9" s="47"/>
      <c r="AG9" s="47"/>
      <c r="AH9" s="15"/>
      <c r="AI9" s="15"/>
    </row>
    <row r="10" spans="1:39" s="13" customFormat="1" ht="20.100000000000001" customHeight="1" thickTop="1" thickBot="1">
      <c r="A10" s="116"/>
      <c r="D10" s="15">
        <v>2022575390</v>
      </c>
      <c r="E10" s="13" t="s">
        <v>413</v>
      </c>
      <c r="F10" s="13" t="s">
        <v>414</v>
      </c>
      <c r="G10" s="15">
        <v>2022575390</v>
      </c>
      <c r="H10" s="16"/>
      <c r="I10" s="47">
        <v>100</v>
      </c>
      <c r="J10" s="47"/>
      <c r="K10" s="51"/>
      <c r="L10" s="15"/>
      <c r="M10" s="15"/>
      <c r="N10" s="77"/>
      <c r="O10" s="64"/>
      <c r="P10" s="52"/>
      <c r="Q10" s="51"/>
      <c r="R10" s="53"/>
      <c r="S10" s="53"/>
      <c r="T10" s="53"/>
      <c r="U10" s="52"/>
      <c r="V10" s="15"/>
      <c r="W10" s="15"/>
      <c r="X10" s="15"/>
      <c r="Y10" s="69"/>
      <c r="Z10" s="228"/>
      <c r="AA10" s="228"/>
      <c r="AB10" s="70"/>
      <c r="AC10" s="71"/>
      <c r="AD10" s="47"/>
      <c r="AE10" s="47"/>
      <c r="AF10" s="47"/>
      <c r="AG10" s="47"/>
      <c r="AH10" s="58"/>
      <c r="AI10" s="15"/>
    </row>
    <row r="11" spans="1:39" s="13" customFormat="1" ht="20.100000000000001" customHeight="1" thickTop="1">
      <c r="D11" s="15"/>
      <c r="E11" s="16" t="s">
        <v>437</v>
      </c>
      <c r="F11" s="27"/>
      <c r="G11" s="27"/>
      <c r="H11" s="64"/>
      <c r="I11" s="47">
        <v>100</v>
      </c>
      <c r="J11" s="47"/>
      <c r="K11" s="51"/>
      <c r="L11" s="15"/>
      <c r="M11" s="15"/>
      <c r="N11" s="83"/>
      <c r="O11" s="64">
        <v>100</v>
      </c>
      <c r="P11" s="57"/>
      <c r="Q11" s="213"/>
      <c r="R11" s="14"/>
      <c r="S11" s="14"/>
      <c r="T11" s="64"/>
      <c r="U11" s="57"/>
      <c r="V11" s="15"/>
      <c r="W11" s="15"/>
      <c r="X11" s="15"/>
      <c r="Y11" s="69"/>
      <c r="Z11" s="228"/>
      <c r="AA11" s="228"/>
      <c r="AB11" s="70"/>
      <c r="AC11" s="71"/>
      <c r="AD11" s="27"/>
      <c r="AE11" s="27"/>
      <c r="AF11" s="47"/>
      <c r="AG11" s="47"/>
      <c r="AH11" s="15"/>
      <c r="AI11" s="15"/>
    </row>
    <row r="12" spans="1:39" s="13" customFormat="1" ht="23.25" customHeight="1" thickBot="1">
      <c r="A12" s="115"/>
      <c r="D12" s="15"/>
      <c r="E12" s="13" t="s">
        <v>346</v>
      </c>
      <c r="G12" s="15"/>
      <c r="H12" s="16"/>
      <c r="I12" s="47"/>
      <c r="J12" s="47"/>
      <c r="K12" s="51"/>
      <c r="L12" s="15"/>
      <c r="M12" s="15"/>
      <c r="N12" s="78"/>
      <c r="O12" s="64"/>
      <c r="P12" s="57"/>
      <c r="Q12" s="214"/>
      <c r="R12" s="215"/>
      <c r="S12" s="216"/>
      <c r="T12" s="217"/>
      <c r="U12" s="218"/>
      <c r="V12" s="226"/>
      <c r="W12" s="226"/>
      <c r="X12" s="226"/>
      <c r="Y12" s="69"/>
      <c r="Z12" s="228"/>
      <c r="AA12" s="228"/>
      <c r="AB12" s="70"/>
      <c r="AC12" s="71"/>
      <c r="AD12" s="27"/>
      <c r="AE12" s="27"/>
      <c r="AF12" s="47"/>
      <c r="AG12" s="47"/>
      <c r="AH12" s="58"/>
      <c r="AI12" s="15"/>
    </row>
    <row r="13" spans="1:39" s="13" customFormat="1" ht="23.25" customHeight="1" thickTop="1" thickBot="1">
      <c r="A13" s="115"/>
      <c r="D13" s="15"/>
      <c r="E13" s="13" t="s">
        <v>347</v>
      </c>
      <c r="G13" s="15"/>
      <c r="H13" s="16"/>
      <c r="I13" s="47"/>
      <c r="J13" s="47"/>
      <c r="K13" s="51"/>
      <c r="L13" s="15"/>
      <c r="M13" s="15"/>
      <c r="N13" s="78"/>
      <c r="O13" s="64"/>
      <c r="P13" s="57"/>
      <c r="Q13" s="214"/>
      <c r="R13" s="215"/>
      <c r="S13" s="216"/>
      <c r="T13" s="217"/>
      <c r="U13" s="218"/>
      <c r="V13" s="226"/>
      <c r="W13" s="226"/>
      <c r="X13" s="226"/>
      <c r="Y13" s="69"/>
      <c r="Z13" s="228"/>
      <c r="AA13" s="228"/>
      <c r="AB13" s="70"/>
      <c r="AC13" s="71"/>
      <c r="AD13" s="27"/>
      <c r="AE13" s="27"/>
      <c r="AF13" s="47"/>
      <c r="AG13" s="47"/>
      <c r="AH13" s="58"/>
      <c r="AI13" s="15"/>
    </row>
    <row r="14" spans="1:39" s="13" customFormat="1" ht="20.100000000000001" customHeight="1" thickTop="1" thickBot="1">
      <c r="A14" s="116"/>
      <c r="D14" s="15">
        <v>1768171911</v>
      </c>
      <c r="E14" s="13" t="s">
        <v>411</v>
      </c>
      <c r="F14" s="13" t="s">
        <v>412</v>
      </c>
      <c r="G14" s="15">
        <v>1768171911</v>
      </c>
      <c r="H14" s="16"/>
      <c r="I14" s="47"/>
      <c r="J14" s="47"/>
      <c r="K14" s="51"/>
      <c r="L14" s="15"/>
      <c r="M14" s="15"/>
      <c r="N14" s="77"/>
      <c r="O14" s="64"/>
      <c r="P14" s="52"/>
      <c r="Q14" s="51"/>
      <c r="R14" s="53"/>
      <c r="S14" s="53"/>
      <c r="T14" s="53"/>
      <c r="U14" s="52"/>
      <c r="V14" s="15"/>
      <c r="W14" s="15"/>
      <c r="X14" s="15"/>
      <c r="Y14" s="69"/>
      <c r="Z14" s="228"/>
      <c r="AA14" s="228"/>
      <c r="AB14" s="70"/>
      <c r="AC14" s="71"/>
      <c r="AD14" s="47"/>
      <c r="AE14" s="47"/>
      <c r="AF14" s="47"/>
      <c r="AG14" s="47"/>
      <c r="AH14" s="58"/>
      <c r="AI14" s="15"/>
    </row>
    <row r="15" spans="1:39" s="13" customFormat="1" ht="20.100000000000001" customHeight="1" thickTop="1" thickBot="1">
      <c r="A15" s="116"/>
      <c r="D15" s="15">
        <v>1773775267</v>
      </c>
      <c r="E15" s="13" t="s">
        <v>421</v>
      </c>
      <c r="F15" s="13" t="s">
        <v>422</v>
      </c>
      <c r="G15" s="15">
        <v>1773775267</v>
      </c>
      <c r="H15" s="16">
        <v>200</v>
      </c>
      <c r="I15" s="47"/>
      <c r="J15" s="47"/>
      <c r="K15" s="51"/>
      <c r="L15" s="15"/>
      <c r="M15" s="15"/>
      <c r="N15" s="77"/>
      <c r="O15" s="64">
        <v>100</v>
      </c>
      <c r="P15" s="52"/>
      <c r="Q15" s="51"/>
      <c r="R15" s="53"/>
      <c r="S15" s="53"/>
      <c r="T15" s="53"/>
      <c r="U15" s="52"/>
      <c r="V15" s="15"/>
      <c r="W15" s="15"/>
      <c r="X15" s="15"/>
      <c r="Y15" s="69"/>
      <c r="Z15" s="228"/>
      <c r="AA15" s="228"/>
      <c r="AB15" s="70"/>
      <c r="AC15" s="71"/>
      <c r="AD15" s="47"/>
      <c r="AE15" s="47"/>
      <c r="AF15" s="47"/>
      <c r="AG15" s="47"/>
      <c r="AH15" s="58"/>
      <c r="AI15" s="15"/>
    </row>
    <row r="16" spans="1:39" s="13" customFormat="1" ht="20.100000000000001" customHeight="1" thickTop="1" thickBot="1">
      <c r="A16" s="116"/>
      <c r="D16" s="15">
        <v>2047453115</v>
      </c>
      <c r="E16" s="13" t="s">
        <v>423</v>
      </c>
      <c r="F16" s="13" t="s">
        <v>424</v>
      </c>
      <c r="G16" s="15">
        <v>2047453115</v>
      </c>
      <c r="H16" s="16"/>
      <c r="I16" s="47"/>
      <c r="J16" s="47"/>
      <c r="K16" s="51"/>
      <c r="L16" s="15"/>
      <c r="M16" s="15"/>
      <c r="N16" s="77"/>
      <c r="O16" s="64"/>
      <c r="P16" s="52"/>
      <c r="Q16" s="51"/>
      <c r="R16" s="53"/>
      <c r="S16" s="53"/>
      <c r="T16" s="53"/>
      <c r="U16" s="52"/>
      <c r="V16" s="15"/>
      <c r="W16" s="15"/>
      <c r="X16" s="15"/>
      <c r="Y16" s="69"/>
      <c r="Z16" s="228"/>
      <c r="AA16" s="228"/>
      <c r="AB16" s="70"/>
      <c r="AC16" s="71"/>
      <c r="AD16" s="47"/>
      <c r="AE16" s="47"/>
      <c r="AF16" s="47"/>
      <c r="AG16" s="47"/>
      <c r="AH16" s="58"/>
      <c r="AI16" s="15"/>
    </row>
    <row r="17" spans="1:39" s="13" customFormat="1" ht="20.100000000000001" customHeight="1" thickTop="1" thickBot="1">
      <c r="A17" s="116"/>
      <c r="B17" s="13" t="s">
        <v>193</v>
      </c>
      <c r="D17" s="15">
        <v>1138528583</v>
      </c>
      <c r="E17" s="13" t="s">
        <v>175</v>
      </c>
      <c r="F17" s="13" t="s">
        <v>410</v>
      </c>
      <c r="G17" s="15">
        <v>1138528583</v>
      </c>
      <c r="H17" s="16"/>
      <c r="I17" s="47"/>
      <c r="J17" s="47"/>
      <c r="K17" s="51"/>
      <c r="L17" s="15"/>
      <c r="M17" s="15"/>
      <c r="N17" s="77"/>
      <c r="O17" s="64"/>
      <c r="P17" s="52"/>
      <c r="Q17" s="51"/>
      <c r="R17" s="53"/>
      <c r="S17" s="53"/>
      <c r="T17" s="53"/>
      <c r="U17" s="52"/>
      <c r="V17" s="15"/>
      <c r="W17" s="15"/>
      <c r="X17" s="15"/>
      <c r="Y17" s="69"/>
      <c r="Z17" s="228"/>
      <c r="AA17" s="228"/>
      <c r="AB17" s="70"/>
      <c r="AC17" s="71"/>
      <c r="AD17" s="47"/>
      <c r="AE17" s="47"/>
      <c r="AF17" s="47"/>
      <c r="AG17" s="47"/>
      <c r="AH17" s="58"/>
      <c r="AI17" s="15"/>
    </row>
    <row r="18" spans="1:39" ht="20.100000000000001" customHeight="1" thickTop="1" thickBot="1">
      <c r="A18" s="116"/>
      <c r="B18" s="13"/>
      <c r="C18" s="13"/>
      <c r="D18" s="15">
        <v>1374995918</v>
      </c>
      <c r="E18" s="13" t="s">
        <v>409</v>
      </c>
      <c r="F18" s="13" t="s">
        <v>428</v>
      </c>
      <c r="G18" s="15">
        <v>1374995918</v>
      </c>
      <c r="H18" s="16"/>
      <c r="I18" s="47"/>
      <c r="J18" s="47">
        <v>200</v>
      </c>
      <c r="K18" s="51"/>
      <c r="L18" s="15"/>
      <c r="M18" s="15"/>
      <c r="N18" s="77"/>
      <c r="O18" s="129"/>
      <c r="P18" s="21"/>
      <c r="Q18" s="29"/>
      <c r="R18" s="14"/>
      <c r="S18" s="14"/>
      <c r="T18" s="5"/>
      <c r="U18" s="21"/>
      <c r="Y18" s="69"/>
      <c r="Z18" s="228"/>
      <c r="AA18" s="228"/>
      <c r="AB18" s="70"/>
      <c r="AC18" s="71"/>
      <c r="AD18" s="27"/>
      <c r="AE18" s="27"/>
      <c r="AF18" s="27"/>
      <c r="AG18" s="27"/>
      <c r="AH18" s="58"/>
      <c r="AJ18"/>
      <c r="AK18"/>
      <c r="AL18"/>
      <c r="AM18"/>
    </row>
    <row r="19" spans="1:39" s="13" customFormat="1" ht="20.100000000000001" customHeight="1" thickTop="1" thickBot="1">
      <c r="A19" s="116"/>
      <c r="B19" s="13" t="s">
        <v>194</v>
      </c>
      <c r="D19" s="15">
        <v>1382904718</v>
      </c>
      <c r="E19" s="13" t="s">
        <v>403</v>
      </c>
      <c r="F19" s="13" t="s">
        <v>404</v>
      </c>
      <c r="G19" s="15">
        <v>1382904718</v>
      </c>
      <c r="H19" s="16"/>
      <c r="I19" s="47">
        <v>250</v>
      </c>
      <c r="J19" s="47"/>
      <c r="K19" s="51"/>
      <c r="L19" s="15"/>
      <c r="M19" s="15"/>
      <c r="N19" s="77"/>
      <c r="O19" s="64"/>
      <c r="P19" s="52"/>
      <c r="Q19" s="51"/>
      <c r="R19" s="53"/>
      <c r="S19" s="53"/>
      <c r="T19" s="53"/>
      <c r="U19" s="52"/>
      <c r="V19" s="15"/>
      <c r="W19" s="15"/>
      <c r="X19" s="15"/>
      <c r="Y19" s="69"/>
      <c r="Z19" s="228"/>
      <c r="AA19" s="228"/>
      <c r="AB19" s="70"/>
      <c r="AC19" s="71"/>
      <c r="AD19" s="47"/>
      <c r="AE19" s="47"/>
      <c r="AF19" s="47"/>
      <c r="AG19" s="47"/>
      <c r="AH19" s="58"/>
      <c r="AI19" s="15"/>
    </row>
    <row r="20" spans="1:39" s="13" customFormat="1" ht="20.100000000000001" customHeight="1" thickTop="1" thickBot="1">
      <c r="A20" s="116"/>
      <c r="D20" s="15">
        <v>1024294111</v>
      </c>
      <c r="E20" s="13" t="s">
        <v>407</v>
      </c>
      <c r="F20" s="13" t="s">
        <v>408</v>
      </c>
      <c r="G20" s="15">
        <v>1024294111</v>
      </c>
      <c r="H20" s="16">
        <v>150</v>
      </c>
      <c r="I20" s="47"/>
      <c r="J20" s="47"/>
      <c r="K20" s="51"/>
      <c r="L20" s="15"/>
      <c r="M20" s="15"/>
      <c r="N20" s="77"/>
      <c r="O20" s="64"/>
      <c r="P20" s="52"/>
      <c r="Q20" s="51"/>
      <c r="R20" s="53"/>
      <c r="S20" s="53"/>
      <c r="T20" s="53"/>
      <c r="U20" s="52"/>
      <c r="V20" s="15"/>
      <c r="W20" s="15"/>
      <c r="X20" s="15"/>
      <c r="Y20" s="69"/>
      <c r="Z20" s="228"/>
      <c r="AA20" s="228"/>
      <c r="AB20" s="70"/>
      <c r="AC20" s="71"/>
      <c r="AD20" s="47"/>
      <c r="AE20" s="47"/>
      <c r="AF20" s="47"/>
      <c r="AG20" s="47"/>
      <c r="AH20" s="58"/>
      <c r="AI20" s="15"/>
    </row>
    <row r="21" spans="1:39" s="13" customFormat="1" ht="20.100000000000001" customHeight="1" thickTop="1" thickBot="1">
      <c r="A21" s="116"/>
      <c r="D21" s="15">
        <v>2044480569</v>
      </c>
      <c r="E21" s="13" t="s">
        <v>405</v>
      </c>
      <c r="F21" s="13" t="s">
        <v>406</v>
      </c>
      <c r="G21" s="15">
        <v>2044480569</v>
      </c>
      <c r="H21" s="16"/>
      <c r="I21" s="47"/>
      <c r="J21" s="47"/>
      <c r="K21" s="51">
        <v>150</v>
      </c>
      <c r="L21" s="15"/>
      <c r="M21" s="15"/>
      <c r="N21" s="77"/>
      <c r="O21" s="64"/>
      <c r="P21" s="52"/>
      <c r="Q21" s="51"/>
      <c r="R21" s="53"/>
      <c r="S21" s="53"/>
      <c r="T21" s="53"/>
      <c r="U21" s="52"/>
      <c r="V21" s="15"/>
      <c r="W21" s="15"/>
      <c r="X21" s="15"/>
      <c r="Y21" s="69"/>
      <c r="Z21" s="228"/>
      <c r="AA21" s="228"/>
      <c r="AB21" s="70"/>
      <c r="AC21" s="71"/>
      <c r="AD21" t="s">
        <v>358</v>
      </c>
      <c r="AE21" s="220"/>
      <c r="AF21" s="47"/>
      <c r="AG21" s="47"/>
      <c r="AH21" s="58"/>
      <c r="AI21" s="15"/>
    </row>
    <row r="22" spans="1:39" s="13" customFormat="1" ht="20.100000000000001" customHeight="1" thickTop="1" thickBot="1">
      <c r="D22" s="153">
        <v>1012331030</v>
      </c>
      <c r="E22" s="13" t="s">
        <v>444</v>
      </c>
      <c r="F22" s="201" t="s">
        <v>443</v>
      </c>
      <c r="G22" s="15">
        <v>1012331030</v>
      </c>
      <c r="H22" s="16"/>
      <c r="I22" s="47">
        <v>150</v>
      </c>
      <c r="J22" s="47"/>
      <c r="K22" s="51"/>
      <c r="L22" s="15"/>
      <c r="M22" s="15"/>
      <c r="N22" s="83"/>
      <c r="O22" s="64"/>
      <c r="P22" s="57"/>
      <c r="Q22" s="213"/>
      <c r="R22" s="14"/>
      <c r="S22" s="14"/>
      <c r="T22" s="64"/>
      <c r="U22" s="57"/>
      <c r="V22" s="15"/>
      <c r="W22" s="15"/>
      <c r="X22" s="15"/>
      <c r="Y22" s="69"/>
      <c r="Z22" s="228"/>
      <c r="AA22" s="228"/>
      <c r="AB22" s="70"/>
      <c r="AC22" s="71"/>
      <c r="AD22" s="27"/>
      <c r="AE22" s="224"/>
      <c r="AF22" s="15"/>
      <c r="AG22" s="15"/>
      <c r="AH22" s="15"/>
      <c r="AI22" s="15"/>
    </row>
    <row r="23" spans="1:39" s="13" customFormat="1" ht="20.100000000000001" customHeight="1" thickTop="1" thickBot="1">
      <c r="A23" s="116"/>
      <c r="C23" s="13" t="s">
        <v>377</v>
      </c>
      <c r="D23" s="15">
        <v>1409613427</v>
      </c>
      <c r="E23" s="13" t="s">
        <v>185</v>
      </c>
      <c r="F23" s="13" t="s">
        <v>402</v>
      </c>
      <c r="G23" s="15">
        <v>1409613427</v>
      </c>
      <c r="H23" s="16"/>
      <c r="I23" s="47"/>
      <c r="J23" s="47">
        <v>100</v>
      </c>
      <c r="K23" s="51"/>
      <c r="L23" s="15"/>
      <c r="M23" s="15"/>
      <c r="N23" s="77"/>
      <c r="O23" s="64"/>
      <c r="P23" s="52"/>
      <c r="Q23" s="51"/>
      <c r="R23" s="53"/>
      <c r="S23" s="53"/>
      <c r="T23" s="53"/>
      <c r="U23" s="52"/>
      <c r="V23" s="15"/>
      <c r="W23" s="15"/>
      <c r="X23" s="15"/>
      <c r="Y23" s="69"/>
      <c r="Z23" s="228"/>
      <c r="AA23" s="228"/>
      <c r="AB23" s="70"/>
      <c r="AC23" s="71"/>
      <c r="AD23" s="47"/>
      <c r="AE23" s="47"/>
      <c r="AF23" s="47"/>
      <c r="AG23" s="47"/>
      <c r="AH23" s="58"/>
      <c r="AI23" s="15"/>
    </row>
    <row r="24" spans="1:39" ht="18" customHeight="1" thickTop="1" thickBot="1">
      <c r="B24" s="13" t="s">
        <v>191</v>
      </c>
      <c r="C24" s="13"/>
      <c r="E24" s="13"/>
      <c r="F24" s="13"/>
      <c r="H24" s="16"/>
      <c r="I24" s="47"/>
      <c r="J24" s="47"/>
      <c r="K24" s="51"/>
      <c r="L24" s="15"/>
      <c r="M24" s="15"/>
      <c r="N24" s="77"/>
      <c r="O24" s="64"/>
      <c r="P24" s="57"/>
      <c r="Q24" s="50"/>
      <c r="R24" s="53"/>
      <c r="S24" s="53"/>
      <c r="T24" s="5"/>
      <c r="U24" s="21"/>
      <c r="Y24" s="69"/>
      <c r="Z24" s="228"/>
      <c r="AA24" s="228"/>
      <c r="AB24" s="70"/>
      <c r="AC24" s="71"/>
      <c r="AD24" s="27"/>
      <c r="AE24" s="27"/>
      <c r="AF24" s="47"/>
      <c r="AG24" s="47"/>
      <c r="AH24" s="15"/>
      <c r="AJ24"/>
      <c r="AK24"/>
      <c r="AL24"/>
      <c r="AM24"/>
    </row>
    <row r="25" spans="1:39" ht="18" customHeight="1" thickTop="1" thickBot="1">
      <c r="B25" s="13"/>
      <c r="C25" s="13"/>
      <c r="E25" s="13"/>
      <c r="F25" s="13"/>
      <c r="H25" s="16"/>
      <c r="I25" s="47"/>
      <c r="J25" s="47"/>
      <c r="K25" s="51"/>
      <c r="L25" s="15"/>
      <c r="M25" s="15"/>
      <c r="N25" s="77"/>
      <c r="O25" s="64"/>
      <c r="P25" s="57"/>
      <c r="Q25" s="50"/>
      <c r="R25" s="53"/>
      <c r="S25" s="53"/>
      <c r="T25" s="5"/>
      <c r="U25" s="21"/>
      <c r="Y25" s="69"/>
      <c r="Z25" s="228"/>
      <c r="AA25" s="228"/>
      <c r="AB25" s="70"/>
      <c r="AC25" s="71"/>
      <c r="AD25" s="27"/>
      <c r="AE25" s="27"/>
      <c r="AF25" s="47"/>
      <c r="AG25" s="47"/>
      <c r="AH25" s="15"/>
      <c r="AJ25"/>
      <c r="AK25"/>
      <c r="AL25"/>
      <c r="AM25"/>
    </row>
    <row r="26" spans="1:39" s="13" customFormat="1" ht="23.25" customHeight="1" thickTop="1" thickBot="1">
      <c r="A26" s="115"/>
      <c r="D26" s="15"/>
      <c r="G26" s="15"/>
      <c r="H26" s="16"/>
      <c r="I26" s="47"/>
      <c r="J26" s="47"/>
      <c r="K26" s="51"/>
      <c r="L26" s="15"/>
      <c r="M26" s="15"/>
      <c r="N26" s="78"/>
      <c r="O26" s="64"/>
      <c r="P26" s="57"/>
      <c r="Q26" s="214"/>
      <c r="R26" s="215"/>
      <c r="S26" s="216"/>
      <c r="T26" s="217"/>
      <c r="U26" s="218"/>
      <c r="V26" s="226"/>
      <c r="W26" s="226"/>
      <c r="X26" s="226"/>
      <c r="Y26" s="69"/>
      <c r="Z26" s="228"/>
      <c r="AA26" s="228"/>
      <c r="AB26" s="70"/>
      <c r="AC26" s="71"/>
      <c r="AD26" s="27"/>
      <c r="AE26" s="27"/>
      <c r="AF26" s="47"/>
      <c r="AG26" s="47"/>
      <c r="AH26" s="58"/>
      <c r="AI26" s="15"/>
    </row>
    <row r="27" spans="1:39" s="13" customFormat="1" ht="20.100000000000001" customHeight="1" thickTop="1" thickBot="1">
      <c r="A27" s="116"/>
      <c r="D27" s="15">
        <v>37775617</v>
      </c>
      <c r="E27" s="13" t="s">
        <v>360</v>
      </c>
      <c r="G27" s="15">
        <v>37775617</v>
      </c>
      <c r="H27" s="16"/>
      <c r="I27" s="47"/>
      <c r="J27" s="47"/>
      <c r="K27" s="51"/>
      <c r="L27" s="15"/>
      <c r="M27" s="15"/>
      <c r="N27" s="77"/>
      <c r="O27" s="64"/>
      <c r="P27" s="52"/>
      <c r="Q27" s="51"/>
      <c r="R27" s="53"/>
      <c r="S27" s="53"/>
      <c r="T27" s="53"/>
      <c r="U27" s="52"/>
      <c r="V27" s="15"/>
      <c r="W27" s="15"/>
      <c r="X27" s="15"/>
      <c r="Y27" s="69"/>
      <c r="Z27" s="228"/>
      <c r="AA27" s="228"/>
      <c r="AB27" s="70"/>
      <c r="AC27" s="71"/>
      <c r="AD27" s="47"/>
      <c r="AE27" s="47"/>
      <c r="AF27" s="47"/>
      <c r="AG27" s="47"/>
      <c r="AH27" s="58"/>
      <c r="AI27" s="15"/>
    </row>
    <row r="28" spans="1:39" s="13" customFormat="1" ht="20.100000000000001" customHeight="1" thickTop="1" thickBot="1">
      <c r="A28" s="116"/>
      <c r="D28" s="15">
        <v>36073217</v>
      </c>
      <c r="E28" s="13" t="s">
        <v>400</v>
      </c>
      <c r="F28" s="13" t="s">
        <v>401</v>
      </c>
      <c r="G28" s="15">
        <v>36073217</v>
      </c>
      <c r="H28" s="16"/>
      <c r="I28" s="47"/>
      <c r="J28" s="47"/>
      <c r="K28" s="51"/>
      <c r="L28" s="15"/>
      <c r="M28" s="15"/>
      <c r="N28" s="77"/>
      <c r="O28" s="64"/>
      <c r="P28" s="52"/>
      <c r="Q28" s="51"/>
      <c r="R28" s="53"/>
      <c r="S28" s="53"/>
      <c r="T28" s="53"/>
      <c r="U28" s="52"/>
      <c r="V28" s="15"/>
      <c r="W28" s="15"/>
      <c r="X28" s="15"/>
      <c r="Y28" s="69"/>
      <c r="Z28" s="228"/>
      <c r="AA28" s="228"/>
      <c r="AB28" s="70"/>
      <c r="AC28" s="71"/>
      <c r="AD28" s="47"/>
      <c r="AE28" s="47"/>
      <c r="AF28" s="47"/>
      <c r="AG28" s="47"/>
      <c r="AH28" s="58"/>
      <c r="AI28" s="15"/>
    </row>
    <row r="29" spans="1:39" s="13" customFormat="1" ht="23.25" customHeight="1" thickTop="1" thickBot="1">
      <c r="A29" s="115"/>
      <c r="D29" s="15"/>
      <c r="G29" s="15"/>
      <c r="H29" s="16"/>
      <c r="I29" s="47"/>
      <c r="J29" s="47"/>
      <c r="K29" s="51"/>
      <c r="L29" s="15"/>
      <c r="M29" s="15"/>
      <c r="N29" s="78"/>
      <c r="O29" s="64"/>
      <c r="P29" s="57"/>
      <c r="Q29" s="29"/>
      <c r="R29" s="215"/>
      <c r="S29" s="216"/>
      <c r="T29" s="217"/>
      <c r="U29" s="218"/>
      <c r="V29" s="226"/>
      <c r="W29" s="226"/>
      <c r="X29" s="226"/>
      <c r="Y29" s="69"/>
      <c r="Z29" s="228"/>
      <c r="AA29" s="228"/>
      <c r="AB29" s="70"/>
      <c r="AC29" s="71"/>
      <c r="AD29" s="27"/>
      <c r="AE29" s="27"/>
      <c r="AF29" s="47"/>
      <c r="AG29" s="47"/>
      <c r="AH29" s="58"/>
      <c r="AI29" s="15"/>
    </row>
    <row r="30" spans="1:39" ht="19.5" customHeight="1" thickTop="1" thickBot="1">
      <c r="D30" s="15">
        <v>2021830539</v>
      </c>
      <c r="E30" s="13" t="s">
        <v>396</v>
      </c>
      <c r="F30" s="13" t="s">
        <v>397</v>
      </c>
      <c r="G30" s="15">
        <v>2021830539</v>
      </c>
      <c r="H30" s="16"/>
      <c r="I30" s="47"/>
      <c r="J30" s="47"/>
      <c r="K30" s="51"/>
      <c r="L30" s="15"/>
      <c r="M30" s="15"/>
      <c r="N30" s="77"/>
      <c r="O30" s="64"/>
      <c r="P30" s="57"/>
      <c r="Q30" s="50"/>
      <c r="R30" s="14"/>
      <c r="S30" s="14"/>
      <c r="T30" s="5"/>
      <c r="U30" s="21"/>
      <c r="Y30" s="69"/>
      <c r="Z30" s="228"/>
      <c r="AA30" s="228"/>
      <c r="AB30" s="70"/>
      <c r="AC30" s="71"/>
      <c r="AD30" s="27"/>
      <c r="AE30" s="27"/>
      <c r="AF30" s="47"/>
      <c r="AG30" s="47"/>
      <c r="AH30" s="15"/>
      <c r="AJ30"/>
      <c r="AK30"/>
      <c r="AL30"/>
      <c r="AM30"/>
    </row>
    <row r="31" spans="1:39" s="13" customFormat="1" ht="20.100000000000001" customHeight="1" thickTop="1">
      <c r="D31" s="15">
        <v>1642603227</v>
      </c>
      <c r="E31" s="13" t="s">
        <v>210</v>
      </c>
      <c r="F31" s="13" t="s">
        <v>395</v>
      </c>
      <c r="G31" s="15">
        <v>1642603227</v>
      </c>
      <c r="H31" s="16"/>
      <c r="I31" s="47"/>
      <c r="J31" s="47"/>
      <c r="K31" s="51"/>
      <c r="L31" s="15"/>
      <c r="M31" s="15"/>
      <c r="N31" s="83"/>
      <c r="O31" s="64"/>
      <c r="P31" s="57"/>
      <c r="Q31" s="29"/>
      <c r="R31" s="14"/>
      <c r="S31" s="14"/>
      <c r="T31" s="14"/>
      <c r="U31" s="57"/>
      <c r="V31" s="15"/>
      <c r="W31" s="15"/>
      <c r="X31" s="15"/>
      <c r="Y31" s="69"/>
      <c r="Z31" s="228"/>
      <c r="AA31" s="228"/>
      <c r="AB31" s="70"/>
      <c r="AC31" s="71"/>
      <c r="AD31" s="27"/>
      <c r="AE31" s="27"/>
      <c r="AF31" s="47"/>
      <c r="AG31" s="47"/>
      <c r="AH31" s="15"/>
      <c r="AI31" s="15"/>
    </row>
    <row r="32" spans="1:39" s="102" customFormat="1" ht="20.100000000000001" customHeight="1">
      <c r="D32" s="112"/>
      <c r="E32" s="103">
        <f>SUBTOTAL(109,E8:E21)</f>
        <v>0</v>
      </c>
      <c r="F32" s="112"/>
      <c r="G32" s="112"/>
      <c r="H32" s="104">
        <f>SUBTOTAL(109,H8:H31)</f>
        <v>350</v>
      </c>
      <c r="I32" s="108"/>
      <c r="J32" s="106">
        <f>SUBTOTAL(109,J8:J31)</f>
        <v>300</v>
      </c>
      <c r="K32" s="103"/>
      <c r="L32" s="113"/>
      <c r="M32" s="113"/>
      <c r="N32" s="107"/>
      <c r="O32" s="108">
        <f>SUBTOTAL(109,O8:O31)</f>
        <v>200</v>
      </c>
      <c r="P32" s="105">
        <f>SUBTOTAL(109,P8:P31)</f>
        <v>0</v>
      </c>
      <c r="Q32" s="104"/>
      <c r="R32" s="106"/>
      <c r="S32" s="106"/>
      <c r="T32" s="106"/>
      <c r="U32" s="105"/>
      <c r="V32" s="113"/>
      <c r="W32" s="113"/>
      <c r="X32" s="113"/>
      <c r="Y32" s="109"/>
      <c r="Z32" s="229"/>
      <c r="AA32" s="229"/>
      <c r="AB32" s="110"/>
      <c r="AC32" s="111"/>
      <c r="AD32" s="112"/>
      <c r="AE32" s="112"/>
      <c r="AF32" s="112"/>
      <c r="AG32" s="112"/>
      <c r="AH32" s="113"/>
      <c r="AI32" s="113"/>
    </row>
    <row r="33" spans="2:39" s="15" customFormat="1" ht="20.100000000000001" customHeight="1" thickBot="1">
      <c r="D33" s="47"/>
      <c r="E33" s="60"/>
      <c r="F33" s="47"/>
      <c r="G33" s="47"/>
      <c r="H33" s="51"/>
      <c r="I33" s="63"/>
      <c r="J33" s="53"/>
      <c r="K33" s="60"/>
      <c r="N33" s="78"/>
      <c r="O33" s="63"/>
      <c r="P33" s="52"/>
      <c r="Q33" s="51"/>
      <c r="R33" s="53"/>
      <c r="S33" s="53"/>
      <c r="T33" s="53"/>
      <c r="U33" s="52"/>
      <c r="Y33" s="72"/>
      <c r="Z33" s="230"/>
      <c r="AA33" s="230"/>
      <c r="AB33" s="73"/>
      <c r="AC33" s="74"/>
      <c r="AD33" s="47"/>
      <c r="AE33" s="47"/>
      <c r="AF33" s="47"/>
      <c r="AG33" s="47"/>
    </row>
    <row r="34" spans="2:39" s="13" customFormat="1" ht="20.100000000000001" customHeight="1" thickTop="1" thickBot="1">
      <c r="C34" s="232">
        <v>251120</v>
      </c>
      <c r="D34" s="47">
        <v>1872013382</v>
      </c>
      <c r="E34" s="16" t="s">
        <v>449</v>
      </c>
      <c r="F34" s="219" t="s">
        <v>445</v>
      </c>
      <c r="G34" s="27"/>
      <c r="H34" s="64">
        <v>200</v>
      </c>
      <c r="I34" s="64"/>
      <c r="J34" s="14"/>
      <c r="K34" s="16"/>
      <c r="L34" s="15"/>
      <c r="M34" s="15"/>
      <c r="N34" s="78"/>
      <c r="O34" s="64"/>
      <c r="P34" s="57"/>
      <c r="Q34" s="214"/>
      <c r="R34" s="14">
        <v>5</v>
      </c>
      <c r="S34" s="14"/>
      <c r="T34" s="64"/>
      <c r="U34" s="57"/>
      <c r="V34" s="15"/>
      <c r="W34" s="15"/>
      <c r="X34" s="15"/>
      <c r="Y34" s="69"/>
      <c r="Z34" s="228"/>
      <c r="AA34" s="228"/>
      <c r="AB34" s="70"/>
      <c r="AC34" s="71"/>
      <c r="AD34" s="233"/>
      <c r="AE34" s="233"/>
      <c r="AF34" s="47"/>
      <c r="AG34" s="47"/>
      <c r="AH34" s="15"/>
      <c r="AI34" s="15"/>
    </row>
    <row r="35" spans="2:39" s="13" customFormat="1" ht="20.100000000000001" customHeight="1" thickTop="1" thickBot="1">
      <c r="C35" s="232"/>
      <c r="D35" s="47"/>
      <c r="E35" s="16" t="s">
        <v>446</v>
      </c>
      <c r="F35" s="27"/>
      <c r="G35" s="27"/>
      <c r="H35" s="64"/>
      <c r="I35" s="64"/>
      <c r="J35" s="14"/>
      <c r="K35" s="16"/>
      <c r="L35" s="15"/>
      <c r="M35" s="15"/>
      <c r="N35" s="78"/>
      <c r="O35" s="64"/>
      <c r="P35" s="57"/>
      <c r="Q35" s="214" t="s">
        <v>447</v>
      </c>
      <c r="R35" s="14"/>
      <c r="S35" s="14"/>
      <c r="T35" s="64"/>
      <c r="U35" s="57"/>
      <c r="V35" s="15"/>
      <c r="W35" s="15"/>
      <c r="X35" s="15"/>
      <c r="Y35" s="69"/>
      <c r="Z35" s="228"/>
      <c r="AA35" s="228"/>
      <c r="AB35" s="70"/>
      <c r="AC35" s="71"/>
      <c r="AD35" s="233"/>
      <c r="AE35" s="233"/>
      <c r="AF35" s="47"/>
      <c r="AG35" s="47"/>
      <c r="AH35" s="15"/>
      <c r="AI35" s="15"/>
    </row>
    <row r="36" spans="2:39" s="13" customFormat="1" ht="20.100000000000001" customHeight="1" thickTop="1">
      <c r="C36" s="232"/>
      <c r="D36" s="15"/>
      <c r="E36" s="16" t="s">
        <v>73</v>
      </c>
      <c r="G36" s="15"/>
      <c r="H36" s="16">
        <v>100</v>
      </c>
      <c r="I36" s="47"/>
      <c r="J36" s="47"/>
      <c r="K36" s="51"/>
      <c r="L36" s="15"/>
      <c r="M36" s="15"/>
      <c r="N36" s="83"/>
      <c r="O36" s="64"/>
      <c r="P36" s="57"/>
      <c r="Q36" s="29"/>
      <c r="R36" s="14"/>
      <c r="S36" s="14"/>
      <c r="T36" s="64"/>
      <c r="U36" s="57"/>
      <c r="V36" s="15"/>
      <c r="W36" s="15"/>
      <c r="X36" s="15"/>
      <c r="Y36" s="69"/>
      <c r="Z36" s="228"/>
      <c r="AA36" s="228"/>
      <c r="AB36" s="70"/>
      <c r="AC36" s="71"/>
      <c r="AD36" s="233"/>
      <c r="AE36" s="233"/>
      <c r="AF36" s="47"/>
      <c r="AG36" s="47"/>
      <c r="AH36" s="15"/>
      <c r="AI36" s="15"/>
    </row>
    <row r="37" spans="2:39" s="13" customFormat="1" ht="20.100000000000001" customHeight="1">
      <c r="C37" s="232"/>
      <c r="D37" s="15"/>
      <c r="E37" s="16" t="s">
        <v>448</v>
      </c>
      <c r="F37" s="27"/>
      <c r="G37" s="27"/>
      <c r="H37" s="64">
        <v>150</v>
      </c>
      <c r="I37" s="64"/>
      <c r="J37" s="14"/>
      <c r="K37" s="16"/>
      <c r="L37" s="15"/>
      <c r="M37" s="15"/>
      <c r="N37" s="83"/>
      <c r="O37" s="64"/>
      <c r="P37" s="57"/>
      <c r="Q37" s="213"/>
      <c r="R37" s="14"/>
      <c r="S37" s="14"/>
      <c r="T37" s="64"/>
      <c r="U37" s="57"/>
      <c r="V37" s="15"/>
      <c r="W37" s="15"/>
      <c r="X37" s="15"/>
      <c r="Y37" s="69"/>
      <c r="Z37" s="228"/>
      <c r="AA37" s="228"/>
      <c r="AB37" s="70"/>
      <c r="AC37" s="71"/>
      <c r="AD37" s="233"/>
      <c r="AE37" s="233"/>
      <c r="AF37" s="47"/>
      <c r="AG37" s="47"/>
      <c r="AH37" s="15"/>
      <c r="AI37" s="15"/>
    </row>
    <row r="38" spans="2:39" s="13" customFormat="1" ht="20.100000000000001" customHeight="1" thickBot="1">
      <c r="C38" s="232">
        <v>251121</v>
      </c>
      <c r="D38" s="47"/>
      <c r="E38" s="16"/>
      <c r="F38" s="27"/>
      <c r="G38" s="27"/>
      <c r="H38" s="64"/>
      <c r="I38" s="64"/>
      <c r="J38" s="14"/>
      <c r="K38" s="16"/>
      <c r="L38" s="15"/>
      <c r="M38" s="15"/>
      <c r="N38" s="78"/>
      <c r="O38" s="64"/>
      <c r="P38" s="57"/>
      <c r="Q38" s="214"/>
      <c r="R38" s="14"/>
      <c r="S38" s="14"/>
      <c r="T38" s="64"/>
      <c r="U38" s="57"/>
      <c r="V38" s="15"/>
      <c r="W38" s="15"/>
      <c r="X38" s="15"/>
      <c r="Y38" s="69"/>
      <c r="Z38" s="228"/>
      <c r="AA38" s="228"/>
      <c r="AB38" s="70"/>
      <c r="AC38" s="71"/>
      <c r="AD38" s="233"/>
      <c r="AE38" s="233"/>
      <c r="AF38" s="47"/>
      <c r="AG38" s="47"/>
      <c r="AH38" s="15"/>
      <c r="AI38" s="15"/>
    </row>
    <row r="39" spans="2:39" s="13" customFormat="1" ht="20.100000000000001" customHeight="1" thickTop="1" thickBot="1">
      <c r="B39" s="13" t="s">
        <v>46</v>
      </c>
      <c r="D39" s="47"/>
      <c r="E39" s="16" t="s">
        <v>28</v>
      </c>
      <c r="F39" s="47"/>
      <c r="G39" s="47"/>
      <c r="H39" s="51">
        <v>200</v>
      </c>
      <c r="I39" s="63"/>
      <c r="J39" s="53"/>
      <c r="K39" s="60"/>
      <c r="L39" s="15"/>
      <c r="M39" s="15"/>
      <c r="N39" s="77"/>
      <c r="O39" s="52">
        <v>100</v>
      </c>
      <c r="P39" s="52"/>
      <c r="Q39" s="29"/>
      <c r="R39" s="53"/>
      <c r="S39" s="53"/>
      <c r="T39" s="53"/>
      <c r="U39" s="52"/>
      <c r="V39" s="15"/>
      <c r="W39" s="15"/>
      <c r="X39" s="15"/>
      <c r="Y39" s="69"/>
      <c r="Z39" s="228"/>
      <c r="AA39" s="228"/>
      <c r="AB39" s="70"/>
      <c r="AC39" s="71"/>
      <c r="AD39" s="47"/>
      <c r="AE39" s="47"/>
      <c r="AF39" s="47"/>
      <c r="AG39" s="47"/>
      <c r="AH39" s="15"/>
      <c r="AI39" s="15"/>
    </row>
    <row r="40" spans="2:39" s="13" customFormat="1" ht="20.100000000000001" customHeight="1" thickTop="1" thickBot="1">
      <c r="D40" s="27"/>
      <c r="E40" s="16" t="s">
        <v>27</v>
      </c>
      <c r="F40" s="27"/>
      <c r="G40" s="27"/>
      <c r="H40" s="29"/>
      <c r="I40" s="64">
        <v>200</v>
      </c>
      <c r="J40" s="14"/>
      <c r="K40" s="16"/>
      <c r="L40" s="15"/>
      <c r="M40" s="15"/>
      <c r="N40" s="77"/>
      <c r="O40" s="57">
        <v>100</v>
      </c>
      <c r="P40" s="57"/>
      <c r="Q40" s="29"/>
      <c r="R40" s="14"/>
      <c r="S40" s="14"/>
      <c r="T40" s="14"/>
      <c r="U40" s="57"/>
      <c r="V40" s="15"/>
      <c r="W40" s="15"/>
      <c r="X40" s="15"/>
      <c r="Y40" s="69"/>
      <c r="Z40" s="228"/>
      <c r="AA40" s="228"/>
      <c r="AB40" s="70"/>
      <c r="AC40" s="71"/>
      <c r="AD40" s="27"/>
      <c r="AE40" s="27"/>
      <c r="AF40" s="47"/>
      <c r="AG40" s="47"/>
      <c r="AH40" s="15"/>
      <c r="AI40" s="15"/>
    </row>
    <row r="41" spans="2:39" s="13" customFormat="1" ht="20.100000000000001" customHeight="1" thickTop="1" thickBot="1">
      <c r="D41" s="47"/>
      <c r="E41" s="16" t="s">
        <v>29</v>
      </c>
      <c r="F41" s="47"/>
      <c r="G41" s="47"/>
      <c r="H41" s="51"/>
      <c r="I41" s="63"/>
      <c r="J41" s="53">
        <v>300</v>
      </c>
      <c r="K41" s="60"/>
      <c r="L41" s="15"/>
      <c r="M41" s="15"/>
      <c r="N41" s="77"/>
      <c r="O41" s="52">
        <v>100</v>
      </c>
      <c r="P41" s="52"/>
      <c r="Q41" s="29"/>
      <c r="R41" s="53"/>
      <c r="S41" s="53"/>
      <c r="T41" s="53"/>
      <c r="U41" s="52"/>
      <c r="V41" s="15"/>
      <c r="W41" s="15"/>
      <c r="X41" s="15"/>
      <c r="Y41" s="69"/>
      <c r="Z41" s="228"/>
      <c r="AA41" s="228"/>
      <c r="AB41" s="70"/>
      <c r="AC41" s="71"/>
      <c r="AD41" s="47"/>
      <c r="AE41" s="47"/>
      <c r="AF41" s="47"/>
      <c r="AG41" s="47"/>
      <c r="AH41" s="15"/>
      <c r="AI41" s="15"/>
    </row>
    <row r="42" spans="2:39" s="13" customFormat="1" ht="20.100000000000001" customHeight="1" thickTop="1" thickBot="1">
      <c r="D42" s="47"/>
      <c r="E42" s="16" t="s">
        <v>31</v>
      </c>
      <c r="F42" s="47"/>
      <c r="G42" s="47"/>
      <c r="H42" s="51">
        <v>100</v>
      </c>
      <c r="I42" s="63"/>
      <c r="J42" s="53"/>
      <c r="K42" s="60"/>
      <c r="L42" s="15"/>
      <c r="M42" s="15"/>
      <c r="N42" s="77"/>
      <c r="O42" s="64"/>
      <c r="P42" s="52"/>
      <c r="Q42" s="51"/>
      <c r="R42" s="53"/>
      <c r="S42" s="53"/>
      <c r="T42" s="53"/>
      <c r="U42" s="52"/>
      <c r="V42" s="15"/>
      <c r="W42" s="15"/>
      <c r="X42" s="15"/>
      <c r="Y42" s="69"/>
      <c r="Z42" s="228"/>
      <c r="AA42" s="228"/>
      <c r="AB42" s="70"/>
      <c r="AC42" s="71"/>
      <c r="AD42" s="47"/>
      <c r="AE42" s="47"/>
      <c r="AF42" s="47"/>
      <c r="AG42" s="47"/>
      <c r="AH42" s="15"/>
      <c r="AI42" s="15"/>
    </row>
    <row r="43" spans="2:39" s="13" customFormat="1" ht="20.100000000000001" customHeight="1" thickTop="1" thickBot="1">
      <c r="D43" s="47"/>
      <c r="E43" s="16" t="s">
        <v>253</v>
      </c>
      <c r="F43" s="47"/>
      <c r="G43" s="47"/>
      <c r="H43" s="51">
        <v>100</v>
      </c>
      <c r="I43" s="63"/>
      <c r="J43" s="53"/>
      <c r="K43" s="60"/>
      <c r="L43" s="15"/>
      <c r="M43" s="15"/>
      <c r="N43" s="77"/>
      <c r="O43" s="65"/>
      <c r="P43" s="52"/>
      <c r="Q43" s="51"/>
      <c r="R43" s="53"/>
      <c r="S43" s="53"/>
      <c r="T43" s="53"/>
      <c r="U43" s="52"/>
      <c r="V43" s="15"/>
      <c r="W43" s="15"/>
      <c r="X43" s="15"/>
      <c r="Y43" s="69"/>
      <c r="Z43" s="228"/>
      <c r="AA43" s="228"/>
      <c r="AB43" s="70"/>
      <c r="AC43" s="71"/>
      <c r="AD43" s="47"/>
      <c r="AE43" s="47"/>
      <c r="AF43" s="47"/>
      <c r="AG43" s="47"/>
      <c r="AH43" s="15"/>
      <c r="AI43" s="15"/>
    </row>
    <row r="44" spans="2:39" s="13" customFormat="1" ht="20.100000000000001" customHeight="1" thickTop="1" thickBot="1">
      <c r="D44" s="27"/>
      <c r="E44" s="16"/>
      <c r="F44" s="27"/>
      <c r="G44" s="27"/>
      <c r="H44" s="29"/>
      <c r="I44" s="64"/>
      <c r="J44" s="14"/>
      <c r="K44" s="16"/>
      <c r="L44" s="15"/>
      <c r="M44" s="15"/>
      <c r="N44" s="77"/>
      <c r="O44" s="64"/>
      <c r="P44" s="57"/>
      <c r="Q44" s="29"/>
      <c r="R44" s="14"/>
      <c r="S44" s="14"/>
      <c r="T44" s="14"/>
      <c r="U44" s="57"/>
      <c r="V44" s="15"/>
      <c r="W44" s="15"/>
      <c r="X44" s="15"/>
      <c r="Y44" s="69"/>
      <c r="Z44" s="228"/>
      <c r="AA44" s="228"/>
      <c r="AB44" s="70"/>
      <c r="AC44" s="71"/>
      <c r="AD44" s="27"/>
      <c r="AE44" s="27"/>
      <c r="AF44" s="27"/>
      <c r="AG44" s="27"/>
      <c r="AH44" s="15"/>
      <c r="AI44" s="15"/>
    </row>
    <row r="45" spans="2:39" ht="20.100000000000001" customHeight="1" thickTop="1" thickBot="1">
      <c r="D45" s="27"/>
      <c r="E45" s="13" t="s">
        <v>405</v>
      </c>
      <c r="F45" s="13" t="s">
        <v>406</v>
      </c>
      <c r="G45" s="27"/>
      <c r="H45" s="29"/>
      <c r="I45" s="64">
        <v>150</v>
      </c>
      <c r="J45" s="14"/>
      <c r="K45" s="14"/>
      <c r="L45" s="15"/>
      <c r="M45" s="15"/>
      <c r="N45" s="77"/>
      <c r="O45" s="29"/>
      <c r="P45" s="57"/>
      <c r="Q45" s="29"/>
      <c r="R45" s="14"/>
      <c r="S45" s="14"/>
      <c r="T45" s="5"/>
      <c r="U45" s="21"/>
      <c r="Y45" s="69"/>
      <c r="Z45" s="228"/>
      <c r="AA45" s="228"/>
      <c r="AB45" s="70"/>
      <c r="AC45" s="71"/>
      <c r="AD45" s="27"/>
      <c r="AE45" s="27"/>
      <c r="AF45" s="47"/>
      <c r="AG45" s="47"/>
      <c r="AH45" s="15"/>
      <c r="AJ45"/>
      <c r="AK45"/>
      <c r="AL45"/>
      <c r="AM45"/>
    </row>
    <row r="46" spans="2:39" ht="20.100000000000001" customHeight="1" thickTop="1" thickBot="1">
      <c r="D46" s="27"/>
      <c r="E46" s="16" t="s">
        <v>36</v>
      </c>
      <c r="F46" s="27"/>
      <c r="G46" s="27"/>
      <c r="H46" s="29">
        <v>200</v>
      </c>
      <c r="I46" s="64"/>
      <c r="J46" s="14"/>
      <c r="K46" s="16"/>
      <c r="L46" s="15"/>
      <c r="M46" s="15"/>
      <c r="N46" s="77"/>
      <c r="O46" s="129">
        <v>100</v>
      </c>
      <c r="P46" s="57"/>
      <c r="Q46" s="29"/>
      <c r="R46" s="14"/>
      <c r="S46" s="14"/>
      <c r="T46" s="5"/>
      <c r="U46" s="21"/>
      <c r="Y46" s="69"/>
      <c r="Z46" s="228"/>
      <c r="AA46" s="228"/>
      <c r="AB46" s="70"/>
      <c r="AC46" s="71"/>
      <c r="AD46" s="27"/>
      <c r="AE46" s="27"/>
      <c r="AF46" s="27"/>
      <c r="AG46" s="27"/>
      <c r="AH46" s="15"/>
      <c r="AJ46"/>
      <c r="AK46"/>
      <c r="AL46"/>
      <c r="AM46"/>
    </row>
    <row r="47" spans="2:39" ht="19.5" customHeight="1" thickTop="1" thickBot="1">
      <c r="D47" s="27"/>
      <c r="E47" s="16" t="s">
        <v>37</v>
      </c>
      <c r="F47" s="27"/>
      <c r="G47" s="27"/>
      <c r="H47" s="29">
        <v>200</v>
      </c>
      <c r="I47" s="64">
        <v>150</v>
      </c>
      <c r="J47" s="14"/>
      <c r="K47" s="16"/>
      <c r="L47" s="15"/>
      <c r="M47" s="15"/>
      <c r="N47" s="77"/>
      <c r="O47" s="64">
        <v>100</v>
      </c>
      <c r="P47" s="57"/>
      <c r="Q47" s="29"/>
      <c r="R47" s="14"/>
      <c r="S47" s="14"/>
      <c r="T47" s="5"/>
      <c r="U47" s="21"/>
      <c r="Y47" s="69"/>
      <c r="Z47" s="228"/>
      <c r="AA47" s="228"/>
      <c r="AB47" s="70"/>
      <c r="AC47" s="71"/>
      <c r="AD47" s="27"/>
      <c r="AE47" s="27"/>
      <c r="AF47" s="27"/>
      <c r="AG47" s="27"/>
      <c r="AH47" s="15"/>
      <c r="AJ47"/>
      <c r="AK47"/>
      <c r="AL47"/>
      <c r="AM47"/>
    </row>
    <row r="48" spans="2:39" ht="19.5" customHeight="1" thickTop="1" thickBot="1">
      <c r="D48" s="27"/>
      <c r="E48" s="16" t="s">
        <v>178</v>
      </c>
      <c r="F48" s="27"/>
      <c r="G48" s="27"/>
      <c r="H48" s="29"/>
      <c r="I48" s="64"/>
      <c r="J48" s="14">
        <v>300</v>
      </c>
      <c r="K48" s="16"/>
      <c r="L48" s="15"/>
      <c r="M48" s="15"/>
      <c r="N48" s="77"/>
      <c r="O48" s="64">
        <v>200</v>
      </c>
      <c r="P48" s="57"/>
      <c r="Q48" s="29"/>
      <c r="R48" s="14"/>
      <c r="S48" s="14"/>
      <c r="T48" s="65"/>
      <c r="U48" s="21"/>
      <c r="Y48" s="69"/>
      <c r="Z48" s="228"/>
      <c r="AA48" s="228"/>
      <c r="AB48" s="70"/>
      <c r="AC48" s="71"/>
      <c r="AD48" s="27"/>
      <c r="AE48" s="27"/>
      <c r="AF48" s="47"/>
      <c r="AG48" s="47"/>
      <c r="AH48" s="15"/>
      <c r="AJ48"/>
      <c r="AK48"/>
      <c r="AL48"/>
      <c r="AM48"/>
    </row>
    <row r="49" spans="2:39" ht="19.5" customHeight="1" thickTop="1" thickBot="1">
      <c r="D49" s="27"/>
      <c r="E49" s="16"/>
      <c r="F49" s="27"/>
      <c r="G49" s="27"/>
      <c r="H49" s="29"/>
      <c r="I49" s="64"/>
      <c r="J49" s="14"/>
      <c r="K49" s="16"/>
      <c r="L49" s="15"/>
      <c r="M49" s="15"/>
      <c r="N49" s="77"/>
      <c r="O49" s="64"/>
      <c r="P49" s="57"/>
      <c r="Q49" s="221"/>
      <c r="R49" s="14"/>
      <c r="S49" s="14"/>
      <c r="T49" s="65"/>
      <c r="U49" s="21"/>
      <c r="Y49" s="69"/>
      <c r="Z49" s="228"/>
      <c r="AA49" s="228"/>
      <c r="AB49" s="70"/>
      <c r="AC49" s="71"/>
      <c r="AD49" s="27"/>
      <c r="AE49" s="27"/>
      <c r="AF49" s="47"/>
      <c r="AG49" s="47"/>
      <c r="AH49" s="15"/>
      <c r="AJ49"/>
      <c r="AK49"/>
      <c r="AL49"/>
      <c r="AM49"/>
    </row>
    <row r="50" spans="2:39" ht="19.5" customHeight="1" thickTop="1" thickBot="1">
      <c r="D50" s="27"/>
      <c r="E50" s="16" t="s">
        <v>366</v>
      </c>
      <c r="F50" s="27"/>
      <c r="G50" s="27"/>
      <c r="H50" s="29"/>
      <c r="I50" s="64"/>
      <c r="J50" s="14"/>
      <c r="K50" s="16"/>
      <c r="L50" s="15"/>
      <c r="M50" s="15"/>
      <c r="N50" s="77"/>
      <c r="O50" s="64"/>
      <c r="P50" s="57"/>
      <c r="Q50" s="29"/>
      <c r="R50" s="14"/>
      <c r="S50" s="14"/>
      <c r="T50" s="65"/>
      <c r="U50" s="21"/>
      <c r="Y50" s="69"/>
      <c r="Z50" s="228"/>
      <c r="AA50" s="228"/>
      <c r="AB50" s="70"/>
      <c r="AC50" s="71"/>
      <c r="AD50" s="27"/>
      <c r="AE50" s="27"/>
      <c r="AF50" s="47"/>
      <c r="AG50" s="47"/>
      <c r="AH50" s="15"/>
      <c r="AJ50"/>
      <c r="AK50"/>
      <c r="AL50"/>
      <c r="AM50"/>
    </row>
    <row r="51" spans="2:39" ht="18" customHeight="1" thickTop="1" thickBot="1">
      <c r="D51" s="27"/>
      <c r="E51" s="16"/>
      <c r="F51" s="27"/>
      <c r="G51" s="27"/>
      <c r="H51" s="29"/>
      <c r="I51" s="64"/>
      <c r="J51" s="14"/>
      <c r="K51" s="16"/>
      <c r="L51" s="15"/>
      <c r="M51" s="15"/>
      <c r="N51" s="77"/>
      <c r="O51" s="64"/>
      <c r="P51" s="57"/>
      <c r="Q51" s="50"/>
      <c r="R51" s="14"/>
      <c r="S51" s="14"/>
      <c r="T51" s="5"/>
      <c r="U51" s="21"/>
      <c r="Y51" s="69"/>
      <c r="Z51" s="228"/>
      <c r="AA51" s="228"/>
      <c r="AB51" s="70"/>
      <c r="AC51" s="71"/>
      <c r="AD51" s="27"/>
      <c r="AE51" s="27"/>
      <c r="AF51" s="47"/>
      <c r="AG51" s="47"/>
      <c r="AH51" s="15"/>
      <c r="AJ51"/>
      <c r="AK51"/>
      <c r="AL51"/>
      <c r="AM51"/>
    </row>
    <row r="52" spans="2:39" ht="18" customHeight="1" thickTop="1" thickBot="1">
      <c r="E52" s="16"/>
      <c r="F52" s="27"/>
      <c r="G52" s="27"/>
      <c r="H52" s="64"/>
      <c r="I52" s="64"/>
      <c r="J52" s="14"/>
      <c r="K52" s="16"/>
      <c r="L52" s="15"/>
      <c r="M52" s="15"/>
      <c r="N52" s="77"/>
      <c r="O52" s="64"/>
      <c r="P52" s="57"/>
      <c r="Q52" s="221"/>
      <c r="R52" s="14"/>
      <c r="S52" s="14"/>
      <c r="T52" s="65"/>
      <c r="U52" s="21"/>
      <c r="Y52" s="69"/>
      <c r="Z52" s="228"/>
      <c r="AA52" s="228"/>
      <c r="AB52" s="70"/>
      <c r="AC52" s="71"/>
      <c r="AD52" s="233"/>
      <c r="AE52" s="233"/>
      <c r="AF52" s="47"/>
      <c r="AG52" s="47"/>
      <c r="AH52" s="15"/>
      <c r="AJ52"/>
      <c r="AK52"/>
      <c r="AL52"/>
      <c r="AM52"/>
    </row>
    <row r="53" spans="2:39" ht="18" customHeight="1" thickTop="1" thickBot="1">
      <c r="E53" s="16"/>
      <c r="F53" s="27"/>
      <c r="G53" s="27"/>
      <c r="H53" s="64"/>
      <c r="I53" s="64"/>
      <c r="J53" s="14"/>
      <c r="K53" s="16"/>
      <c r="L53" s="15"/>
      <c r="M53" s="15"/>
      <c r="N53" s="77"/>
      <c r="O53" s="64"/>
      <c r="P53" s="57"/>
      <c r="Q53" s="221"/>
      <c r="R53" s="14"/>
      <c r="S53" s="14"/>
      <c r="T53" s="65"/>
      <c r="U53" s="21"/>
      <c r="Y53" s="69"/>
      <c r="Z53" s="228"/>
      <c r="AA53" s="228"/>
      <c r="AB53" s="70"/>
      <c r="AC53" s="71"/>
      <c r="AD53" s="233"/>
      <c r="AE53" s="233"/>
      <c r="AF53" s="47"/>
      <c r="AG53" s="47"/>
      <c r="AH53" s="15"/>
      <c r="AJ53"/>
      <c r="AK53"/>
      <c r="AL53"/>
      <c r="AM53"/>
    </row>
    <row r="54" spans="2:39" ht="18" customHeight="1" thickTop="1" thickBot="1">
      <c r="E54" s="16"/>
      <c r="F54" s="27"/>
      <c r="G54" s="27"/>
      <c r="H54" s="64"/>
      <c r="I54" s="64"/>
      <c r="J54" s="14"/>
      <c r="K54" s="16"/>
      <c r="L54" s="15"/>
      <c r="M54" s="15"/>
      <c r="N54" s="77"/>
      <c r="O54" s="64"/>
      <c r="P54" s="57"/>
      <c r="Q54" s="221"/>
      <c r="R54" s="14"/>
      <c r="S54" s="14"/>
      <c r="T54" s="65"/>
      <c r="U54" s="21"/>
      <c r="Y54" s="69"/>
      <c r="Z54" s="228"/>
      <c r="AA54" s="228"/>
      <c r="AB54" s="70"/>
      <c r="AC54" s="71"/>
      <c r="AD54" s="233"/>
      <c r="AE54" s="233"/>
      <c r="AF54" s="47"/>
      <c r="AG54" s="47"/>
      <c r="AH54" s="15"/>
      <c r="AJ54"/>
      <c r="AK54"/>
      <c r="AL54"/>
      <c r="AM54"/>
    </row>
    <row r="55" spans="2:39" ht="18" customHeight="1" thickTop="1" thickBot="1">
      <c r="B55" s="13" t="s">
        <v>191</v>
      </c>
      <c r="C55" s="13"/>
      <c r="D55" s="15">
        <v>1022013892</v>
      </c>
      <c r="E55" s="13" t="s">
        <v>379</v>
      </c>
      <c r="F55" s="13" t="s">
        <v>381</v>
      </c>
      <c r="G55" s="15">
        <v>1022013892</v>
      </c>
      <c r="H55" s="234"/>
      <c r="I55" s="235"/>
      <c r="J55" s="14"/>
      <c r="K55" s="16"/>
      <c r="L55" s="15"/>
      <c r="M55" s="15"/>
      <c r="N55" s="77"/>
      <c r="O55" s="64"/>
      <c r="P55" s="57"/>
      <c r="Q55" s="50"/>
      <c r="R55" s="53">
        <v>5</v>
      </c>
      <c r="S55" s="53">
        <v>5</v>
      </c>
      <c r="T55" s="5"/>
      <c r="U55" s="21"/>
      <c r="Y55" s="69"/>
      <c r="Z55" s="228"/>
      <c r="AA55" s="228"/>
      <c r="AB55" s="70"/>
      <c r="AC55" s="71"/>
      <c r="AD55" s="27"/>
      <c r="AE55" s="27"/>
      <c r="AF55" s="47"/>
      <c r="AG55" s="47"/>
      <c r="AH55" s="15"/>
      <c r="AJ55"/>
      <c r="AK55"/>
      <c r="AL55"/>
      <c r="AM55"/>
    </row>
    <row r="56" spans="2:39" ht="18" customHeight="1" thickTop="1" thickBot="1">
      <c r="B56" s="13"/>
      <c r="C56" s="13"/>
      <c r="D56" s="15">
        <v>1258228694</v>
      </c>
      <c r="E56" s="13" t="s">
        <v>202</v>
      </c>
      <c r="F56" s="13" t="s">
        <v>262</v>
      </c>
      <c r="G56" s="15">
        <v>1258228694</v>
      </c>
      <c r="H56" s="29"/>
      <c r="I56" s="64"/>
      <c r="J56" s="14"/>
      <c r="K56" s="16"/>
      <c r="L56" s="15"/>
      <c r="M56" s="15"/>
      <c r="N56" s="77"/>
      <c r="O56" s="64"/>
      <c r="P56" s="57"/>
      <c r="Q56" s="50"/>
      <c r="R56" s="53">
        <v>5</v>
      </c>
      <c r="S56" s="53"/>
      <c r="T56" s="5"/>
      <c r="U56" s="21"/>
      <c r="Y56" s="69"/>
      <c r="Z56" s="228"/>
      <c r="AA56" s="228"/>
      <c r="AB56" s="70"/>
      <c r="AC56" s="71"/>
      <c r="AD56" s="27"/>
      <c r="AE56" s="27"/>
      <c r="AF56" s="47"/>
      <c r="AG56" s="47"/>
      <c r="AH56" s="15"/>
      <c r="AJ56"/>
      <c r="AK56"/>
      <c r="AL56"/>
      <c r="AM56"/>
    </row>
    <row r="57" spans="2:39" ht="18" customHeight="1" thickTop="1" thickBot="1">
      <c r="B57" s="13"/>
      <c r="C57" s="13"/>
      <c r="D57" s="15">
        <v>1016917438</v>
      </c>
      <c r="E57" s="13" t="s">
        <v>380</v>
      </c>
      <c r="F57" s="13" t="s">
        <v>382</v>
      </c>
      <c r="G57" s="15">
        <v>1016917438</v>
      </c>
      <c r="H57" s="234"/>
      <c r="I57" s="235"/>
      <c r="J57" s="14"/>
      <c r="K57" s="16"/>
      <c r="L57" s="15"/>
      <c r="M57" s="15"/>
      <c r="N57" s="77"/>
      <c r="O57" s="64"/>
      <c r="P57" s="57"/>
      <c r="Q57" s="50"/>
      <c r="R57" s="53">
        <v>5</v>
      </c>
      <c r="S57" s="53"/>
      <c r="T57" s="5"/>
      <c r="U57" s="21"/>
      <c r="Y57" s="69"/>
      <c r="Z57" s="228"/>
      <c r="AA57" s="228"/>
      <c r="AB57" s="70"/>
      <c r="AC57" s="71"/>
      <c r="AD57" s="27"/>
      <c r="AE57" s="27"/>
      <c r="AF57" s="47"/>
      <c r="AG57" s="47"/>
      <c r="AH57" s="15"/>
      <c r="AJ57"/>
      <c r="AK57"/>
      <c r="AL57"/>
      <c r="AM57"/>
    </row>
    <row r="58" spans="2:39" ht="18" customHeight="1" thickTop="1" thickBot="1">
      <c r="B58" s="13"/>
      <c r="C58" s="13"/>
      <c r="D58" s="15">
        <v>1287821286</v>
      </c>
      <c r="E58" s="13" t="s">
        <v>383</v>
      </c>
      <c r="F58" s="13" t="s">
        <v>265</v>
      </c>
      <c r="G58" s="15">
        <v>1287821286</v>
      </c>
      <c r="H58" s="29"/>
      <c r="I58" s="64"/>
      <c r="J58" s="14"/>
      <c r="K58" s="16"/>
      <c r="L58" s="15"/>
      <c r="M58" s="15"/>
      <c r="N58" s="77"/>
      <c r="O58" s="64"/>
      <c r="P58" s="57"/>
      <c r="Q58" s="50"/>
      <c r="R58" s="53">
        <v>5</v>
      </c>
      <c r="S58" s="53"/>
      <c r="T58" s="5"/>
      <c r="U58" s="21"/>
      <c r="Y58" s="69"/>
      <c r="Z58" s="228"/>
      <c r="AA58" s="228"/>
      <c r="AB58" s="70"/>
      <c r="AC58" s="71"/>
      <c r="AD58" s="27"/>
      <c r="AE58" s="27"/>
      <c r="AF58" s="47"/>
      <c r="AG58" s="47"/>
      <c r="AH58" s="15"/>
      <c r="AJ58"/>
      <c r="AK58"/>
      <c r="AL58"/>
      <c r="AM58"/>
    </row>
    <row r="59" spans="2:39" ht="18" customHeight="1" thickTop="1" thickBot="1">
      <c r="B59" s="13"/>
      <c r="C59" s="13"/>
      <c r="D59" s="15">
        <v>1881917537</v>
      </c>
      <c r="E59" s="13" t="s">
        <v>206</v>
      </c>
      <c r="F59" s="13" t="s">
        <v>264</v>
      </c>
      <c r="G59" s="15">
        <v>1881917537</v>
      </c>
      <c r="H59" s="29"/>
      <c r="I59" s="64"/>
      <c r="J59" s="14"/>
      <c r="K59" s="16"/>
      <c r="L59" s="15"/>
      <c r="M59" s="15"/>
      <c r="N59" s="77"/>
      <c r="O59" s="64"/>
      <c r="P59" s="57"/>
      <c r="Q59" s="50"/>
      <c r="R59" s="14">
        <v>5</v>
      </c>
      <c r="S59" s="14"/>
      <c r="T59" s="5"/>
      <c r="U59" s="21"/>
      <c r="Y59" s="69"/>
      <c r="Z59" s="228"/>
      <c r="AA59" s="228"/>
      <c r="AB59" s="70"/>
      <c r="AC59" s="71"/>
      <c r="AD59" s="27"/>
      <c r="AE59" s="27"/>
      <c r="AF59" s="47"/>
      <c r="AG59" s="47"/>
      <c r="AH59" s="15"/>
      <c r="AJ59"/>
      <c r="AK59"/>
      <c r="AL59"/>
      <c r="AM59"/>
    </row>
    <row r="60" spans="2:39" ht="18" customHeight="1" thickTop="1" thickBot="1">
      <c r="D60" s="15">
        <v>1421207239</v>
      </c>
      <c r="E60" s="13" t="s">
        <v>384</v>
      </c>
      <c r="F60" s="13" t="s">
        <v>385</v>
      </c>
      <c r="G60" s="15">
        <v>1421207239</v>
      </c>
      <c r="H60" s="29"/>
      <c r="I60" s="64"/>
      <c r="J60" s="14"/>
      <c r="K60" s="16"/>
      <c r="L60" s="15"/>
      <c r="M60" s="15"/>
      <c r="N60" s="77"/>
      <c r="O60" s="64"/>
      <c r="P60" s="57"/>
      <c r="Q60" s="50"/>
      <c r="R60" s="14">
        <v>5</v>
      </c>
      <c r="S60" s="14">
        <v>5</v>
      </c>
      <c r="T60" s="5"/>
      <c r="U60" s="21"/>
      <c r="Y60" s="69"/>
      <c r="Z60" s="228"/>
      <c r="AA60" s="228"/>
      <c r="AB60" s="70"/>
      <c r="AC60" s="71"/>
      <c r="AD60" s="27"/>
      <c r="AE60" s="27"/>
      <c r="AF60" s="47"/>
      <c r="AG60" s="47"/>
      <c r="AH60" s="15"/>
      <c r="AJ60"/>
      <c r="AK60"/>
      <c r="AL60"/>
      <c r="AM60"/>
    </row>
    <row r="61" spans="2:39" ht="19.5" customHeight="1" thickTop="1" thickBot="1">
      <c r="D61" s="15">
        <v>1683089915</v>
      </c>
      <c r="E61" s="13" t="s">
        <v>386</v>
      </c>
      <c r="F61" s="13" t="s">
        <v>387</v>
      </c>
      <c r="G61" s="15">
        <v>1683089915</v>
      </c>
      <c r="H61" s="234"/>
      <c r="I61" s="235"/>
      <c r="J61" s="14"/>
      <c r="K61" s="16"/>
      <c r="L61" s="15"/>
      <c r="M61" s="15"/>
      <c r="N61" s="77"/>
      <c r="O61" s="64"/>
      <c r="P61" s="57"/>
      <c r="Q61" s="50"/>
      <c r="R61" s="14">
        <v>7</v>
      </c>
      <c r="S61" s="14">
        <v>7</v>
      </c>
      <c r="T61" s="5"/>
      <c r="U61" s="21"/>
      <c r="Y61" s="69"/>
      <c r="Z61" s="228"/>
      <c r="AA61" s="228"/>
      <c r="AB61" s="70"/>
      <c r="AC61" s="71"/>
      <c r="AD61" s="27"/>
      <c r="AE61" s="27"/>
      <c r="AF61" s="47"/>
      <c r="AG61" s="47"/>
      <c r="AH61" s="15"/>
      <c r="AJ61"/>
      <c r="AK61"/>
      <c r="AL61"/>
      <c r="AM61"/>
    </row>
    <row r="62" spans="2:39" ht="18" customHeight="1" thickTop="1" thickBot="1">
      <c r="D62" s="15">
        <v>1886277668</v>
      </c>
      <c r="E62" s="13" t="s">
        <v>388</v>
      </c>
      <c r="F62" s="13" t="s">
        <v>389</v>
      </c>
      <c r="G62" s="15">
        <v>1886277668</v>
      </c>
      <c r="H62" s="29"/>
      <c r="I62" s="64"/>
      <c r="J62" s="14"/>
      <c r="K62" s="16"/>
      <c r="L62" s="15"/>
      <c r="M62" s="15"/>
      <c r="N62" s="77"/>
      <c r="O62" s="64"/>
      <c r="P62" s="57"/>
      <c r="Q62" s="50"/>
      <c r="R62" s="14">
        <v>3</v>
      </c>
      <c r="S62" s="14">
        <v>3</v>
      </c>
      <c r="T62" s="5"/>
      <c r="U62" s="21"/>
      <c r="Y62" s="69"/>
      <c r="Z62" s="228"/>
      <c r="AA62" s="228"/>
      <c r="AB62" s="70"/>
      <c r="AC62" s="71"/>
      <c r="AD62" s="27"/>
      <c r="AE62" s="27"/>
      <c r="AF62" s="47"/>
      <c r="AG62" s="47"/>
      <c r="AH62" s="15"/>
      <c r="AJ62"/>
      <c r="AK62"/>
      <c r="AL62"/>
      <c r="AM62"/>
    </row>
    <row r="63" spans="2:39" ht="19.5" customHeight="1" thickTop="1" thickBot="1">
      <c r="D63" s="15">
        <v>2035334597</v>
      </c>
      <c r="E63" s="13" t="s">
        <v>204</v>
      </c>
      <c r="F63" s="13" t="s">
        <v>390</v>
      </c>
      <c r="G63" s="15">
        <v>2035334597</v>
      </c>
      <c r="H63" s="29"/>
      <c r="I63" s="64"/>
      <c r="J63" s="14"/>
      <c r="K63" s="16"/>
      <c r="L63" s="15"/>
      <c r="M63" s="15"/>
      <c r="N63" s="77"/>
      <c r="O63" s="64"/>
      <c r="P63" s="57"/>
      <c r="Q63" s="50"/>
      <c r="R63" s="14">
        <v>5</v>
      </c>
      <c r="S63" s="14"/>
      <c r="T63" s="5"/>
      <c r="U63" s="21"/>
      <c r="Y63" s="69"/>
      <c r="Z63" s="228"/>
      <c r="AA63" s="228"/>
      <c r="AB63" s="70"/>
      <c r="AC63" s="71"/>
      <c r="AD63" s="27"/>
      <c r="AE63" s="27"/>
      <c r="AF63" s="47"/>
      <c r="AG63" s="47"/>
      <c r="AH63" s="15"/>
      <c r="AJ63"/>
      <c r="AK63"/>
      <c r="AL63"/>
      <c r="AM63"/>
    </row>
    <row r="64" spans="2:39" ht="19.5" customHeight="1" thickTop="1" thickBot="1">
      <c r="B64" t="s">
        <v>191</v>
      </c>
      <c r="D64" s="15">
        <v>1839268518</v>
      </c>
      <c r="E64" s="13" t="s">
        <v>391</v>
      </c>
      <c r="F64" s="13" t="s">
        <v>392</v>
      </c>
      <c r="G64" s="15">
        <v>1839268518</v>
      </c>
      <c r="H64" s="29"/>
      <c r="I64" s="64"/>
      <c r="J64" s="14"/>
      <c r="K64" s="16"/>
      <c r="L64" s="15"/>
      <c r="M64" s="15"/>
      <c r="N64" s="77"/>
      <c r="O64" s="64"/>
      <c r="P64" s="57"/>
      <c r="Q64" s="50"/>
      <c r="R64" s="14">
        <v>7</v>
      </c>
      <c r="S64" s="14">
        <v>7</v>
      </c>
      <c r="T64" s="5"/>
      <c r="U64" s="21"/>
      <c r="Y64" s="69"/>
      <c r="Z64" s="228"/>
      <c r="AA64" s="228"/>
      <c r="AB64" s="70"/>
      <c r="AC64" s="71"/>
      <c r="AD64" s="27"/>
      <c r="AE64" s="27"/>
      <c r="AF64" s="47"/>
      <c r="AG64" s="47"/>
      <c r="AH64" s="15"/>
      <c r="AJ64"/>
      <c r="AK64"/>
      <c r="AL64"/>
      <c r="AM64"/>
    </row>
    <row r="65" spans="1:39" ht="19.5" customHeight="1" thickTop="1" thickBot="1">
      <c r="D65" s="15">
        <v>1201249206</v>
      </c>
      <c r="E65" s="13" t="s">
        <v>393</v>
      </c>
      <c r="F65" s="13" t="s">
        <v>394</v>
      </c>
      <c r="G65" s="15">
        <v>1201249206</v>
      </c>
      <c r="H65" s="29"/>
      <c r="I65" s="64"/>
      <c r="J65" s="14"/>
      <c r="K65" s="16"/>
      <c r="L65" s="15"/>
      <c r="M65" s="15"/>
      <c r="N65" s="77"/>
      <c r="O65" s="64"/>
      <c r="P65" s="57"/>
      <c r="Q65" s="50"/>
      <c r="R65" s="14">
        <v>5</v>
      </c>
      <c r="S65" s="14"/>
      <c r="T65" s="5"/>
      <c r="U65" s="21"/>
      <c r="Y65" s="69"/>
      <c r="Z65" s="228"/>
      <c r="AA65" s="228"/>
      <c r="AB65" s="70"/>
      <c r="AC65" s="71"/>
      <c r="AD65" s="27"/>
      <c r="AE65" s="27"/>
      <c r="AF65" s="47"/>
      <c r="AG65" s="47"/>
      <c r="AH65" s="15"/>
      <c r="AJ65"/>
      <c r="AK65"/>
      <c r="AL65"/>
      <c r="AM65"/>
    </row>
    <row r="66" spans="1:39" ht="19.5" customHeight="1" thickTop="1" thickBot="1">
      <c r="D66" s="15">
        <v>1642603227</v>
      </c>
      <c r="E66" s="13" t="s">
        <v>210</v>
      </c>
      <c r="F66" s="13" t="s">
        <v>395</v>
      </c>
      <c r="G66" s="15">
        <v>1642603227</v>
      </c>
      <c r="H66" s="29"/>
      <c r="I66" s="64"/>
      <c r="J66" s="14"/>
      <c r="K66" s="16"/>
      <c r="L66" s="15"/>
      <c r="M66" s="15"/>
      <c r="N66" s="77"/>
      <c r="O66" s="64"/>
      <c r="P66" s="57"/>
      <c r="Q66" s="50"/>
      <c r="R66" s="14"/>
      <c r="S66" s="14"/>
      <c r="T66" s="5"/>
      <c r="U66" s="21"/>
      <c r="Y66" s="69"/>
      <c r="Z66" s="228"/>
      <c r="AA66" s="228"/>
      <c r="AB66" s="70"/>
      <c r="AC66" s="71"/>
      <c r="AD66" s="27"/>
      <c r="AE66" s="27"/>
      <c r="AF66" s="47"/>
      <c r="AG66" s="47"/>
      <c r="AH66" s="15"/>
      <c r="AJ66"/>
      <c r="AK66"/>
      <c r="AL66"/>
      <c r="AM66"/>
    </row>
    <row r="67" spans="1:39" ht="19.5" customHeight="1" thickTop="1" thickBot="1">
      <c r="E67" s="16" t="s">
        <v>432</v>
      </c>
      <c r="F67" s="27"/>
      <c r="G67" s="27"/>
      <c r="H67" s="64"/>
      <c r="I67" s="64"/>
      <c r="J67" s="14"/>
      <c r="K67" s="16"/>
      <c r="L67" s="15"/>
      <c r="M67" s="15"/>
      <c r="N67" s="77"/>
      <c r="O67" s="64"/>
      <c r="P67" s="57"/>
      <c r="Q67" s="221"/>
      <c r="R67" s="14">
        <v>5</v>
      </c>
      <c r="S67" s="14"/>
      <c r="T67" s="65"/>
      <c r="U67" s="21"/>
      <c r="Y67" s="69"/>
      <c r="Z67" s="228"/>
      <c r="AA67" s="228"/>
      <c r="AB67" s="70"/>
      <c r="AC67" s="71"/>
      <c r="AD67" s="233"/>
      <c r="AE67" s="233"/>
      <c r="AF67" s="47"/>
      <c r="AG67" s="47"/>
      <c r="AH67" s="15"/>
      <c r="AJ67"/>
      <c r="AK67"/>
      <c r="AL67"/>
      <c r="AM67"/>
    </row>
    <row r="68" spans="1:39" ht="19.5" customHeight="1" thickTop="1" thickBot="1">
      <c r="E68" s="16" t="s">
        <v>431</v>
      </c>
      <c r="F68" s="27"/>
      <c r="G68" s="27"/>
      <c r="H68" s="64"/>
      <c r="I68" s="64"/>
      <c r="J68" s="14"/>
      <c r="K68" s="16"/>
      <c r="L68" s="15"/>
      <c r="M68" s="15"/>
      <c r="N68" s="77"/>
      <c r="O68" s="64"/>
      <c r="P68" s="57"/>
      <c r="Q68" s="221"/>
      <c r="R68" s="14">
        <v>5</v>
      </c>
      <c r="S68" s="14"/>
      <c r="T68" s="65"/>
      <c r="U68" s="21"/>
      <c r="Y68" s="69"/>
      <c r="Z68" s="228"/>
      <c r="AA68" s="228"/>
      <c r="AB68" s="70"/>
      <c r="AC68" s="71"/>
      <c r="AD68" s="233"/>
      <c r="AE68" s="233"/>
      <c r="AF68" s="47"/>
      <c r="AG68" s="47"/>
      <c r="AH68" s="15"/>
      <c r="AJ68"/>
      <c r="AK68"/>
      <c r="AL68"/>
      <c r="AM68"/>
    </row>
    <row r="69" spans="1:39" ht="19.5" customHeight="1" thickTop="1" thickBot="1">
      <c r="E69" s="16" t="s">
        <v>351</v>
      </c>
      <c r="F69" s="27"/>
      <c r="G69" s="27"/>
      <c r="H69" s="64"/>
      <c r="I69" s="64"/>
      <c r="J69" s="14"/>
      <c r="K69" s="16"/>
      <c r="L69" s="15"/>
      <c r="M69" s="15"/>
      <c r="N69" s="77"/>
      <c r="O69" s="64"/>
      <c r="P69" s="57"/>
      <c r="Q69" s="221"/>
      <c r="R69" s="14"/>
      <c r="S69" s="14"/>
      <c r="T69" s="65"/>
      <c r="U69" s="21"/>
      <c r="Y69" s="69"/>
      <c r="Z69" s="228"/>
      <c r="AA69" s="228"/>
      <c r="AB69" s="70"/>
      <c r="AC69" s="71"/>
      <c r="AD69" s="233"/>
      <c r="AE69" s="233"/>
      <c r="AF69" s="47"/>
      <c r="AG69" s="47"/>
      <c r="AH69" s="15"/>
      <c r="AJ69"/>
      <c r="AK69"/>
      <c r="AL69"/>
      <c r="AM69"/>
    </row>
    <row r="70" spans="1:39" ht="19.5" customHeight="1" thickTop="1" thickBot="1">
      <c r="E70" s="16" t="s">
        <v>497</v>
      </c>
      <c r="F70" s="27"/>
      <c r="G70" s="27"/>
      <c r="H70" s="64"/>
      <c r="I70" s="64"/>
      <c r="J70" s="14"/>
      <c r="K70" s="16"/>
      <c r="L70" s="15"/>
      <c r="M70" s="15"/>
      <c r="N70" s="77"/>
      <c r="O70" s="64"/>
      <c r="P70" s="57"/>
      <c r="Q70" s="221"/>
      <c r="R70" s="14">
        <v>3</v>
      </c>
      <c r="S70" s="14"/>
      <c r="T70" s="65"/>
      <c r="U70" s="21"/>
      <c r="Y70" s="69"/>
      <c r="Z70" s="228"/>
      <c r="AA70" s="228"/>
      <c r="AB70" s="70"/>
      <c r="AC70" s="71"/>
      <c r="AD70" s="233"/>
      <c r="AE70" s="233"/>
      <c r="AF70" s="47"/>
      <c r="AG70" s="47"/>
      <c r="AH70" s="15"/>
      <c r="AJ70"/>
      <c r="AK70"/>
      <c r="AL70"/>
      <c r="AM70"/>
    </row>
    <row r="71" spans="1:39" ht="19.5" customHeight="1" thickTop="1" thickBot="1">
      <c r="E71" s="16" t="s">
        <v>450</v>
      </c>
      <c r="F71" s="27"/>
      <c r="G71" s="27"/>
      <c r="H71" s="64"/>
      <c r="I71" s="64" t="s">
        <v>451</v>
      </c>
      <c r="J71" s="14"/>
      <c r="K71" s="16"/>
      <c r="L71" s="15"/>
      <c r="M71" s="15"/>
      <c r="N71" s="77"/>
      <c r="O71" s="64"/>
      <c r="P71" s="57"/>
      <c r="Q71" s="221"/>
      <c r="R71" s="14">
        <v>1008</v>
      </c>
      <c r="S71" s="14"/>
      <c r="T71" s="65"/>
      <c r="U71" s="21"/>
      <c r="Y71" s="69"/>
      <c r="Z71" s="228"/>
      <c r="AA71" s="228"/>
      <c r="AB71" s="70"/>
      <c r="AC71" s="71"/>
      <c r="AD71" s="233"/>
      <c r="AE71" s="233"/>
      <c r="AF71" s="47"/>
      <c r="AG71" s="47"/>
      <c r="AH71" s="15"/>
      <c r="AJ71"/>
      <c r="AK71"/>
      <c r="AL71"/>
      <c r="AM71"/>
    </row>
    <row r="72" spans="1:39" ht="19.5" customHeight="1" thickTop="1" thickBot="1">
      <c r="D72" s="27"/>
      <c r="E72" s="16"/>
      <c r="F72" s="27"/>
      <c r="G72" s="27"/>
      <c r="H72" s="29"/>
      <c r="I72" s="64"/>
      <c r="J72" s="14"/>
      <c r="K72" s="16"/>
      <c r="L72" s="15"/>
      <c r="M72" s="15"/>
      <c r="N72" s="77"/>
      <c r="O72" s="64"/>
      <c r="P72" s="57"/>
      <c r="Q72" s="29"/>
      <c r="R72" s="14"/>
      <c r="S72" s="14"/>
      <c r="T72" s="5"/>
      <c r="U72" s="21"/>
      <c r="Y72" s="69"/>
      <c r="Z72" s="228"/>
      <c r="AA72" s="228"/>
      <c r="AB72" s="70"/>
      <c r="AC72" s="71"/>
      <c r="AD72" s="27"/>
      <c r="AE72" s="27"/>
      <c r="AF72" s="47"/>
      <c r="AG72" s="47"/>
      <c r="AH72" s="15"/>
      <c r="AJ72"/>
      <c r="AK72"/>
      <c r="AL72"/>
      <c r="AM72"/>
    </row>
    <row r="73" spans="1:39" ht="19.5" customHeight="1" thickTop="1" thickBot="1">
      <c r="D73" s="27"/>
      <c r="E73" s="16"/>
      <c r="F73" s="27"/>
      <c r="G73" s="27"/>
      <c r="H73" s="29"/>
      <c r="I73" s="64"/>
      <c r="J73" s="14"/>
      <c r="K73" s="16"/>
      <c r="L73" s="15"/>
      <c r="M73" s="15"/>
      <c r="N73" s="77"/>
      <c r="O73" s="64"/>
      <c r="P73" s="57"/>
      <c r="Q73" s="50"/>
      <c r="R73" s="14"/>
      <c r="S73" s="14"/>
      <c r="T73" s="5"/>
      <c r="U73" s="21"/>
      <c r="Y73" s="69"/>
      <c r="Z73" s="228"/>
      <c r="AA73" s="228"/>
      <c r="AB73" s="70"/>
      <c r="AC73" s="71"/>
      <c r="AD73" s="27"/>
      <c r="AE73" s="27"/>
      <c r="AF73" s="47"/>
      <c r="AG73" s="47"/>
      <c r="AH73" s="15"/>
      <c r="AJ73"/>
      <c r="AK73"/>
      <c r="AL73"/>
      <c r="AM73"/>
    </row>
    <row r="74" spans="1:39" s="13" customFormat="1" ht="20.100000000000001" customHeight="1" thickTop="1" thickBot="1">
      <c r="D74" s="47"/>
      <c r="E74" s="16" t="s">
        <v>47</v>
      </c>
      <c r="F74" s="47"/>
      <c r="G74" s="47"/>
      <c r="H74" s="51"/>
      <c r="I74" s="63"/>
      <c r="J74" s="53"/>
      <c r="K74" s="60"/>
      <c r="L74" s="15"/>
      <c r="M74" s="15"/>
      <c r="N74" s="77"/>
      <c r="O74" s="64"/>
      <c r="P74" s="52"/>
      <c r="Q74" s="51"/>
      <c r="R74" s="53"/>
      <c r="S74" s="53"/>
      <c r="T74" s="53"/>
      <c r="U74" s="52"/>
      <c r="V74" s="15"/>
      <c r="W74" s="15"/>
      <c r="X74" s="15"/>
      <c r="Y74" s="69"/>
      <c r="Z74" s="228"/>
      <c r="AA74" s="228"/>
      <c r="AB74" s="70"/>
      <c r="AC74" s="71"/>
      <c r="AD74" s="47"/>
      <c r="AE74" s="47"/>
      <c r="AF74" s="47"/>
      <c r="AG74" s="47"/>
      <c r="AH74" s="15"/>
      <c r="AI74" s="15"/>
    </row>
    <row r="75" spans="1:39" s="13" customFormat="1" ht="20.100000000000001" customHeight="1" thickTop="1" thickBot="1">
      <c r="D75" s="47"/>
      <c r="E75" s="16" t="s">
        <v>41</v>
      </c>
      <c r="F75" s="47"/>
      <c r="G75" s="47"/>
      <c r="H75" s="51"/>
      <c r="I75" s="63"/>
      <c r="J75" s="53"/>
      <c r="K75" s="60"/>
      <c r="L75" s="15"/>
      <c r="M75" s="15"/>
      <c r="N75" s="77"/>
      <c r="O75" s="64"/>
      <c r="P75" s="52"/>
      <c r="Q75" s="51"/>
      <c r="R75" s="53"/>
      <c r="S75" s="53"/>
      <c r="T75" s="53"/>
      <c r="U75" s="52"/>
      <c r="V75" s="15"/>
      <c r="W75" s="15"/>
      <c r="X75" s="15"/>
      <c r="Y75" s="69"/>
      <c r="Z75" s="228"/>
      <c r="AA75" s="228"/>
      <c r="AB75" s="70"/>
      <c r="AC75" s="71"/>
      <c r="AD75" s="47"/>
      <c r="AE75" s="47"/>
      <c r="AF75" s="47"/>
      <c r="AG75" s="47"/>
      <c r="AH75" s="15"/>
      <c r="AI75" s="15"/>
    </row>
    <row r="76" spans="1:39" s="13" customFormat="1" ht="20.100000000000001" customHeight="1" thickTop="1" thickBot="1">
      <c r="D76" s="27"/>
      <c r="E76" s="16" t="s">
        <v>325</v>
      </c>
      <c r="F76" s="27"/>
      <c r="G76" s="27"/>
      <c r="H76" s="29"/>
      <c r="I76" s="64"/>
      <c r="J76" s="14"/>
      <c r="K76" s="16"/>
      <c r="L76" s="15"/>
      <c r="M76" s="15"/>
      <c r="N76" s="77"/>
      <c r="O76" s="27"/>
      <c r="P76" s="57"/>
      <c r="Q76" s="29"/>
      <c r="R76" s="14"/>
      <c r="S76" s="14"/>
      <c r="T76" s="14"/>
      <c r="U76" s="57"/>
      <c r="V76" s="15"/>
      <c r="W76" s="15"/>
      <c r="X76" s="15"/>
      <c r="Y76" s="69"/>
      <c r="Z76" s="228"/>
      <c r="AA76" s="228"/>
      <c r="AB76" s="70"/>
      <c r="AC76" s="71"/>
      <c r="AD76" s="27"/>
      <c r="AE76" s="27"/>
      <c r="AF76" s="47"/>
      <c r="AG76" s="47"/>
      <c r="AH76" s="15"/>
      <c r="AI76" s="15"/>
    </row>
    <row r="77" spans="1:39" ht="19.5" customHeight="1" thickTop="1" thickBot="1">
      <c r="D77" s="27"/>
      <c r="E77" s="16" t="s">
        <v>153</v>
      </c>
      <c r="F77" s="27"/>
      <c r="G77" s="27"/>
      <c r="H77" s="29"/>
      <c r="I77" s="64"/>
      <c r="J77" s="14"/>
      <c r="K77" s="16"/>
      <c r="L77" s="15"/>
      <c r="M77" s="15"/>
      <c r="N77" s="77"/>
      <c r="O77" s="64"/>
      <c r="P77" s="57"/>
      <c r="Q77" s="50"/>
      <c r="R77" s="14"/>
      <c r="S77" s="14"/>
      <c r="T77" s="5"/>
      <c r="U77" s="21"/>
      <c r="Y77" s="69"/>
      <c r="Z77" s="228"/>
      <c r="AA77" s="228"/>
      <c r="AB77" s="70"/>
      <c r="AC77" s="71"/>
      <c r="AD77" s="27"/>
      <c r="AE77" s="27"/>
      <c r="AF77" s="27"/>
      <c r="AG77" s="27"/>
      <c r="AH77" s="15"/>
      <c r="AJ77"/>
      <c r="AK77"/>
      <c r="AL77"/>
      <c r="AM77"/>
    </row>
    <row r="78" spans="1:39" s="13" customFormat="1" ht="20.100000000000001" customHeight="1" thickTop="1" thickBot="1">
      <c r="A78" s="116"/>
      <c r="D78" s="47"/>
      <c r="E78" s="16" t="s">
        <v>178</v>
      </c>
      <c r="F78" s="47"/>
      <c r="G78" s="47"/>
      <c r="H78" s="51"/>
      <c r="I78" s="63"/>
      <c r="J78" s="53"/>
      <c r="K78" s="60"/>
      <c r="L78" s="15"/>
      <c r="M78" s="15"/>
      <c r="N78" s="77"/>
      <c r="O78" s="64"/>
      <c r="P78" s="52"/>
      <c r="Q78" s="51"/>
      <c r="R78" s="53"/>
      <c r="S78" s="53"/>
      <c r="T78" s="53"/>
      <c r="U78" s="52"/>
      <c r="V78" s="15"/>
      <c r="W78" s="15"/>
      <c r="X78" s="15"/>
      <c r="Y78" s="69"/>
      <c r="Z78" s="228"/>
      <c r="AA78" s="228"/>
      <c r="AB78" s="70"/>
      <c r="AC78" s="71"/>
      <c r="AD78" s="47"/>
      <c r="AE78" s="47"/>
      <c r="AF78" s="47"/>
      <c r="AG78" s="47"/>
      <c r="AH78" s="58"/>
      <c r="AI78" s="15"/>
    </row>
    <row r="79" spans="1:39" ht="20.100000000000001" customHeight="1" thickTop="1" thickBot="1">
      <c r="D79" s="27"/>
      <c r="E79" s="16" t="s">
        <v>138</v>
      </c>
      <c r="F79" s="27"/>
      <c r="G79" s="27"/>
      <c r="H79" s="29"/>
      <c r="I79" s="64"/>
      <c r="J79" s="14"/>
      <c r="K79" s="16"/>
      <c r="L79" s="15"/>
      <c r="M79" s="15"/>
      <c r="N79" s="77"/>
      <c r="O79" s="129"/>
      <c r="P79" s="57"/>
      <c r="Q79" s="29"/>
      <c r="R79" s="14"/>
      <c r="S79" s="14"/>
      <c r="T79" s="5"/>
      <c r="U79" s="21"/>
      <c r="Y79" s="69"/>
      <c r="Z79" s="228"/>
      <c r="AA79" s="228"/>
      <c r="AB79" s="70"/>
      <c r="AC79" s="71"/>
      <c r="AD79" s="27"/>
      <c r="AE79" s="27"/>
      <c r="AF79" s="27"/>
      <c r="AG79" s="27"/>
      <c r="AH79" s="15"/>
      <c r="AJ79"/>
      <c r="AK79"/>
      <c r="AL79"/>
      <c r="AM79"/>
    </row>
    <row r="80" spans="1:39" s="13" customFormat="1" ht="20.100000000000001" customHeight="1" thickTop="1" thickBot="1">
      <c r="D80" s="47"/>
      <c r="E80" s="16" t="s">
        <v>73</v>
      </c>
      <c r="F80" s="47"/>
      <c r="G80" s="47"/>
      <c r="H80" s="51"/>
      <c r="I80" s="63"/>
      <c r="J80" s="53"/>
      <c r="K80" s="60"/>
      <c r="L80" s="15"/>
      <c r="M80" s="15"/>
      <c r="N80" s="77"/>
      <c r="O80" s="64"/>
      <c r="P80" s="52"/>
      <c r="Q80" s="51"/>
      <c r="R80" s="53"/>
      <c r="S80" s="53"/>
      <c r="T80" s="53"/>
      <c r="U80" s="52"/>
      <c r="V80" s="15"/>
      <c r="W80" s="15"/>
      <c r="X80" s="15"/>
      <c r="Y80" s="69"/>
      <c r="Z80" s="228"/>
      <c r="AA80" s="228"/>
      <c r="AB80" s="70"/>
      <c r="AC80" s="71"/>
      <c r="AD80" s="47"/>
      <c r="AE80" s="47"/>
      <c r="AF80" s="47"/>
      <c r="AG80" s="47"/>
      <c r="AH80" s="15"/>
      <c r="AI80" s="15"/>
    </row>
    <row r="81" spans="1:39" ht="19.5" customHeight="1" thickTop="1" thickBot="1">
      <c r="D81" s="27"/>
      <c r="E81" s="16" t="s">
        <v>340</v>
      </c>
      <c r="F81" s="27"/>
      <c r="G81" s="27"/>
      <c r="H81" s="29"/>
      <c r="I81" s="64"/>
      <c r="J81" s="14"/>
      <c r="K81" s="16"/>
      <c r="L81" s="15"/>
      <c r="M81" s="15"/>
      <c r="N81" s="77"/>
      <c r="O81" s="64"/>
      <c r="P81" s="57"/>
      <c r="Q81" s="50"/>
      <c r="R81" s="14"/>
      <c r="S81" s="14"/>
      <c r="T81" s="5"/>
      <c r="U81" s="21"/>
      <c r="Y81" s="69"/>
      <c r="Z81" s="228"/>
      <c r="AA81" s="228"/>
      <c r="AB81" s="70"/>
      <c r="AC81" s="71"/>
      <c r="AD81" s="27"/>
      <c r="AE81" s="27"/>
      <c r="AF81" s="47"/>
      <c r="AG81" s="47"/>
      <c r="AH81" s="15"/>
      <c r="AJ81"/>
      <c r="AK81"/>
      <c r="AL81"/>
      <c r="AM81"/>
    </row>
    <row r="82" spans="1:39" ht="19.5" customHeight="1" thickTop="1" thickBot="1">
      <c r="D82" s="27"/>
      <c r="E82" s="16" t="s">
        <v>362</v>
      </c>
      <c r="F82" s="27"/>
      <c r="G82" s="27"/>
      <c r="H82" s="29"/>
      <c r="I82" s="64"/>
      <c r="J82" s="14"/>
      <c r="K82" s="16"/>
      <c r="L82" s="15"/>
      <c r="M82" s="15"/>
      <c r="N82" s="77"/>
      <c r="O82" s="64"/>
      <c r="P82" s="57"/>
      <c r="Q82" s="221"/>
      <c r="R82" s="14"/>
      <c r="S82" s="14"/>
      <c r="T82" s="65"/>
      <c r="U82" s="21"/>
      <c r="Y82" s="69"/>
      <c r="Z82" s="228"/>
      <c r="AA82" s="228"/>
      <c r="AB82" s="70"/>
      <c r="AC82" s="71"/>
      <c r="AD82" s="27"/>
      <c r="AE82" s="27"/>
      <c r="AF82" s="47"/>
      <c r="AG82" s="47"/>
      <c r="AH82" s="15"/>
      <c r="AJ82"/>
      <c r="AK82"/>
      <c r="AL82"/>
      <c r="AM82"/>
    </row>
    <row r="83" spans="1:39" ht="19.5" customHeight="1" thickTop="1" thickBot="1">
      <c r="D83" s="27"/>
      <c r="E83" s="16" t="s">
        <v>364</v>
      </c>
      <c r="F83" s="27"/>
      <c r="G83" s="27"/>
      <c r="H83" s="29"/>
      <c r="I83" s="64"/>
      <c r="J83" s="14"/>
      <c r="K83" s="16"/>
      <c r="L83" s="15"/>
      <c r="M83" s="15"/>
      <c r="N83" s="77"/>
      <c r="O83" s="64"/>
      <c r="P83" s="57"/>
      <c r="Q83" s="221"/>
      <c r="R83" s="14"/>
      <c r="S83" s="14"/>
      <c r="T83" s="65"/>
      <c r="U83" s="21"/>
      <c r="Y83" s="69"/>
      <c r="Z83" s="228"/>
      <c r="AA83" s="228"/>
      <c r="AB83" s="70"/>
      <c r="AC83" s="71"/>
      <c r="AD83" s="27"/>
      <c r="AE83" s="27"/>
      <c r="AF83" s="47"/>
      <c r="AG83" s="47"/>
      <c r="AH83" s="15"/>
      <c r="AJ83"/>
      <c r="AK83"/>
      <c r="AL83"/>
      <c r="AM83"/>
    </row>
    <row r="84" spans="1:39" s="13" customFormat="1" ht="20.100000000000001" customHeight="1" thickTop="1" thickBot="1">
      <c r="A84" s="116"/>
      <c r="D84" s="47"/>
      <c r="E84" s="16" t="s">
        <v>367</v>
      </c>
      <c r="F84" s="47"/>
      <c r="G84" s="47"/>
      <c r="H84" s="51"/>
      <c r="I84" s="63"/>
      <c r="J84" s="53"/>
      <c r="K84" s="60"/>
      <c r="L84" s="15"/>
      <c r="M84" s="15"/>
      <c r="N84" s="77"/>
      <c r="O84" s="64"/>
      <c r="P84" s="52"/>
      <c r="Q84" s="51"/>
      <c r="R84" s="53"/>
      <c r="S84" s="53"/>
      <c r="T84" s="53"/>
      <c r="U84" s="52"/>
      <c r="V84" s="15"/>
      <c r="W84" s="15"/>
      <c r="X84" s="15"/>
      <c r="Y84" s="69"/>
      <c r="Z84" s="228"/>
      <c r="AA84" s="228"/>
      <c r="AB84" s="70"/>
      <c r="AC84" s="71"/>
      <c r="AD84" s="47"/>
      <c r="AE84" s="47"/>
      <c r="AF84" s="47"/>
      <c r="AG84" s="47"/>
      <c r="AH84" s="58"/>
      <c r="AI84" s="15"/>
    </row>
    <row r="85" spans="1:39" s="13" customFormat="1" ht="20.100000000000001" customHeight="1" thickTop="1" thickBot="1">
      <c r="D85" s="47"/>
      <c r="E85" s="16" t="s">
        <v>55</v>
      </c>
      <c r="F85" s="47"/>
      <c r="G85" s="47"/>
      <c r="H85" s="51"/>
      <c r="I85" s="63"/>
      <c r="J85" s="53"/>
      <c r="K85" s="60"/>
      <c r="L85" s="15"/>
      <c r="M85" s="15"/>
      <c r="N85" s="77"/>
      <c r="O85" s="64"/>
      <c r="P85" s="52"/>
      <c r="Q85" s="51"/>
      <c r="R85" s="53"/>
      <c r="S85" s="53"/>
      <c r="T85" s="53"/>
      <c r="U85" s="52"/>
      <c r="V85" s="15"/>
      <c r="W85" s="15"/>
      <c r="X85" s="15"/>
      <c r="Y85" s="69"/>
      <c r="Z85" s="228"/>
      <c r="AA85" s="228"/>
      <c r="AB85" s="70"/>
      <c r="AC85" s="71"/>
      <c r="AD85" s="47"/>
      <c r="AE85" s="47"/>
      <c r="AF85" s="47"/>
      <c r="AG85" s="47"/>
      <c r="AH85" s="15"/>
      <c r="AI85" s="15"/>
    </row>
    <row r="86" spans="1:39" s="13" customFormat="1" ht="20.100000000000001" customHeight="1" thickTop="1" thickBot="1">
      <c r="D86" s="47"/>
      <c r="E86" s="16" t="s">
        <v>30</v>
      </c>
      <c r="F86" s="47"/>
      <c r="G86" s="47"/>
      <c r="H86" s="51"/>
      <c r="I86" s="63"/>
      <c r="J86" s="53"/>
      <c r="K86" s="60"/>
      <c r="L86" s="15"/>
      <c r="M86" s="15"/>
      <c r="N86" s="77"/>
      <c r="O86" s="65"/>
      <c r="P86" s="52"/>
      <c r="Q86" s="29"/>
      <c r="R86" s="53"/>
      <c r="S86" s="53"/>
      <c r="T86" s="53"/>
      <c r="U86" s="52"/>
      <c r="V86" s="15"/>
      <c r="W86" s="15"/>
      <c r="X86" s="15"/>
      <c r="Y86" s="69"/>
      <c r="Z86" s="228"/>
      <c r="AA86" s="228"/>
      <c r="AB86" s="70"/>
      <c r="AC86" s="71"/>
      <c r="AD86" s="47"/>
      <c r="AE86" s="47"/>
      <c r="AF86" s="47"/>
      <c r="AG86" s="47"/>
      <c r="AH86" s="15"/>
      <c r="AI86" s="15"/>
    </row>
    <row r="87" spans="1:39" s="13" customFormat="1" ht="20.100000000000001" customHeight="1" thickTop="1" thickBot="1">
      <c r="D87" s="15"/>
      <c r="E87" s="16"/>
      <c r="F87" s="15"/>
      <c r="G87" s="15"/>
      <c r="J87" s="51"/>
      <c r="K87" s="52"/>
      <c r="L87" s="53"/>
      <c r="M87" s="60"/>
      <c r="N87" s="60"/>
      <c r="O87" s="15"/>
      <c r="P87" s="77"/>
      <c r="Q87" s="64"/>
      <c r="R87" s="52"/>
      <c r="S87" s="51"/>
      <c r="T87" s="53"/>
      <c r="U87" s="53"/>
      <c r="V87" s="53"/>
      <c r="W87" s="52"/>
      <c r="X87" s="15"/>
      <c r="Y87" s="15"/>
      <c r="Z87" s="15"/>
      <c r="AA87" s="69"/>
      <c r="AB87" s="228"/>
      <c r="AC87" s="228"/>
      <c r="AD87" s="70"/>
      <c r="AE87" s="71"/>
      <c r="AF87" s="47"/>
      <c r="AG87" s="47"/>
      <c r="AH87" s="47"/>
      <c r="AI87" s="47"/>
      <c r="AJ87" s="15"/>
      <c r="AK87" s="15"/>
    </row>
    <row r="88" spans="1:39" s="13" customFormat="1" ht="20.100000000000001" customHeight="1" thickTop="1" thickBot="1">
      <c r="D88" s="15"/>
      <c r="E88" s="16">
        <v>2</v>
      </c>
      <c r="F88" s="15"/>
      <c r="G88" s="15"/>
      <c r="H88" s="13">
        <f>SUM(H34:H87)</f>
        <v>1250</v>
      </c>
      <c r="J88" s="51"/>
      <c r="K88" s="51"/>
      <c r="L88" s="51"/>
      <c r="M88" s="51"/>
      <c r="N88" s="51"/>
      <c r="O88" s="51"/>
      <c r="P88" s="13">
        <f>SUM(P34:P87)</f>
        <v>0</v>
      </c>
      <c r="Q88" s="51">
        <f>SUM(O39:O85)</f>
        <v>700</v>
      </c>
      <c r="R88" s="51"/>
      <c r="S88" s="51">
        <v>672</v>
      </c>
      <c r="T88" s="53"/>
      <c r="U88" s="53"/>
      <c r="V88" s="53"/>
      <c r="W88" s="52"/>
      <c r="X88" s="15"/>
      <c r="Y88" s="15"/>
      <c r="Z88" s="15"/>
      <c r="AA88" s="69"/>
      <c r="AB88" s="228"/>
      <c r="AC88" s="228"/>
      <c r="AD88" s="70"/>
      <c r="AE88" s="71"/>
      <c r="AF88" s="47"/>
      <c r="AG88" s="47"/>
      <c r="AH88" s="47"/>
      <c r="AI88" s="47"/>
      <c r="AJ88" s="15"/>
      <c r="AK88" s="15"/>
    </row>
    <row r="89" spans="1:39" ht="19.5" customHeight="1" thickTop="1" thickBot="1">
      <c r="E89" s="16"/>
      <c r="J89" s="20"/>
      <c r="K89" s="21"/>
      <c r="L89" s="5"/>
      <c r="M89" s="61"/>
      <c r="N89" s="61"/>
      <c r="P89" s="77"/>
      <c r="Q89" s="65"/>
      <c r="R89" s="21"/>
      <c r="S89" s="50"/>
      <c r="T89" s="14"/>
      <c r="U89" s="14"/>
      <c r="V89" s="5"/>
      <c r="W89" s="21"/>
      <c r="AA89" s="69"/>
      <c r="AB89" s="228"/>
      <c r="AC89" s="228"/>
      <c r="AD89" s="70"/>
      <c r="AE89" s="71"/>
      <c r="AF89" s="27"/>
      <c r="AG89" s="27"/>
      <c r="AH89" s="27"/>
      <c r="AI89" s="27"/>
      <c r="AK89" s="2"/>
      <c r="AL89"/>
      <c r="AM89"/>
    </row>
    <row r="90" spans="1:39" s="13" customFormat="1" ht="20.100000000000001" customHeight="1" thickTop="1" thickBot="1">
      <c r="A90" s="116"/>
      <c r="D90" s="15"/>
      <c r="E90" s="16" t="s">
        <v>372</v>
      </c>
      <c r="F90" s="15"/>
      <c r="G90" s="15"/>
      <c r="J90" s="51"/>
      <c r="K90" s="52"/>
      <c r="L90" s="53"/>
      <c r="M90" s="60"/>
      <c r="N90" s="60"/>
      <c r="O90" s="15"/>
      <c r="P90" s="77"/>
      <c r="Q90" s="64"/>
      <c r="R90" s="52"/>
      <c r="S90" s="51"/>
      <c r="T90" s="53"/>
      <c r="U90" s="53"/>
      <c r="V90" s="53"/>
      <c r="W90" s="52"/>
      <c r="X90" s="15"/>
      <c r="Y90" s="15"/>
      <c r="Z90" s="15"/>
      <c r="AA90" s="69"/>
      <c r="AB90" s="228"/>
      <c r="AC90" s="228"/>
      <c r="AD90" s="70"/>
      <c r="AE90" s="71"/>
      <c r="AF90" s="47"/>
      <c r="AG90" s="47"/>
      <c r="AH90" s="47"/>
      <c r="AI90" s="47"/>
      <c r="AJ90" s="58"/>
      <c r="AK90" s="15"/>
    </row>
    <row r="91" spans="1:39" s="13" customFormat="1" ht="20.100000000000001" customHeight="1" thickTop="1" thickBot="1">
      <c r="A91" s="116"/>
      <c r="D91" s="15"/>
      <c r="E91" s="16" t="s">
        <v>8</v>
      </c>
      <c r="F91" s="15"/>
      <c r="G91" s="15"/>
      <c r="J91" s="51"/>
      <c r="K91" s="52"/>
      <c r="L91" s="53"/>
      <c r="M91" s="60"/>
      <c r="N91" s="60"/>
      <c r="O91" s="15"/>
      <c r="P91" s="77"/>
      <c r="Q91" s="64"/>
      <c r="R91" s="52"/>
      <c r="S91" s="51"/>
      <c r="T91" s="53"/>
      <c r="U91" s="53"/>
      <c r="V91" s="53"/>
      <c r="W91" s="52"/>
      <c r="X91" s="15"/>
      <c r="Y91" s="15"/>
      <c r="Z91" s="15"/>
      <c r="AA91" s="69"/>
      <c r="AB91" s="228"/>
      <c r="AC91" s="228"/>
      <c r="AD91" s="70"/>
      <c r="AE91" s="71"/>
      <c r="AF91" s="47"/>
      <c r="AG91" s="47"/>
      <c r="AH91" s="47"/>
      <c r="AI91" s="47"/>
      <c r="AJ91" s="58"/>
      <c r="AK91" s="15"/>
    </row>
    <row r="92" spans="1:39" s="13" customFormat="1" ht="20.100000000000001" customHeight="1" thickTop="1" thickBot="1">
      <c r="A92" s="116"/>
      <c r="D92" s="15"/>
      <c r="E92" s="16" t="s">
        <v>177</v>
      </c>
      <c r="F92" s="15"/>
      <c r="G92" s="15"/>
      <c r="J92" s="51"/>
      <c r="K92" s="52"/>
      <c r="L92" s="53"/>
      <c r="M92" s="60"/>
      <c r="N92" s="60"/>
      <c r="O92" s="15"/>
      <c r="P92" s="77"/>
      <c r="Q92" s="64"/>
      <c r="R92" s="52"/>
      <c r="S92" s="51"/>
      <c r="T92" s="53"/>
      <c r="U92" s="53"/>
      <c r="V92" s="53"/>
      <c r="W92" s="52"/>
      <c r="X92" s="15"/>
      <c r="Y92" s="15"/>
      <c r="Z92" s="15"/>
      <c r="AA92" s="69"/>
      <c r="AB92" s="228"/>
      <c r="AC92" s="228"/>
      <c r="AD92" s="70"/>
      <c r="AE92" s="71"/>
      <c r="AF92" s="47"/>
      <c r="AG92" s="47"/>
      <c r="AH92" s="47"/>
      <c r="AI92" s="47"/>
      <c r="AJ92" s="58"/>
      <c r="AK92" s="15"/>
    </row>
    <row r="93" spans="1:39" s="13" customFormat="1" ht="20.100000000000001" customHeight="1" thickTop="1" thickBot="1">
      <c r="A93" s="116"/>
      <c r="D93" s="223"/>
      <c r="E93" s="117" t="s">
        <v>1</v>
      </c>
      <c r="F93" s="223"/>
      <c r="G93" s="223"/>
      <c r="J93" s="118"/>
      <c r="K93" s="119"/>
      <c r="L93" s="120"/>
      <c r="M93" s="121"/>
      <c r="N93" s="121"/>
      <c r="O93" s="223"/>
      <c r="P93" s="122"/>
      <c r="Q93" s="123"/>
      <c r="R93" s="119"/>
      <c r="S93" s="118"/>
      <c r="T93" s="120"/>
      <c r="U93" s="120"/>
      <c r="V93" s="120"/>
      <c r="W93" s="119"/>
      <c r="X93" s="223"/>
      <c r="Y93" s="223"/>
      <c r="Z93" s="223"/>
      <c r="AA93" s="124"/>
      <c r="AB93" s="231"/>
      <c r="AC93" s="231"/>
      <c r="AD93" s="125"/>
      <c r="AE93" s="126"/>
      <c r="AF93" s="127"/>
      <c r="AG93" s="127"/>
      <c r="AH93" s="127"/>
      <c r="AI93" s="127"/>
      <c r="AJ93" s="128"/>
      <c r="AK93" s="15"/>
    </row>
    <row r="94" spans="1:39" s="13" customFormat="1" ht="20.100000000000001" customHeight="1" thickTop="1" thickBot="1">
      <c r="A94" s="116"/>
      <c r="D94" s="15"/>
      <c r="E94" s="16" t="s">
        <v>179</v>
      </c>
      <c r="F94" s="15"/>
      <c r="G94" s="15"/>
      <c r="J94" s="51"/>
      <c r="K94" s="52"/>
      <c r="L94" s="53"/>
      <c r="M94" s="60"/>
      <c r="N94" s="60"/>
      <c r="O94" s="15"/>
      <c r="P94" s="77"/>
      <c r="Q94" s="64"/>
      <c r="R94" s="52"/>
      <c r="S94" s="51"/>
      <c r="T94" s="53"/>
      <c r="U94" s="53"/>
      <c r="V94" s="53"/>
      <c r="W94" s="52"/>
      <c r="X94" s="15"/>
      <c r="Y94" s="15"/>
      <c r="Z94" s="15"/>
      <c r="AA94" s="69"/>
      <c r="AB94" s="228"/>
      <c r="AC94" s="228"/>
      <c r="AD94" s="70"/>
      <c r="AE94" s="71"/>
      <c r="AF94" s="47"/>
      <c r="AG94" s="47"/>
      <c r="AH94" s="47"/>
      <c r="AI94" s="47"/>
      <c r="AJ94" s="58"/>
      <c r="AK94" s="15"/>
    </row>
    <row r="95" spans="1:39" s="13" customFormat="1" ht="20.100000000000001" customHeight="1" thickTop="1" thickBot="1">
      <c r="A95" s="116"/>
      <c r="D95" s="15"/>
      <c r="E95" s="16" t="s">
        <v>0</v>
      </c>
      <c r="F95" s="15"/>
      <c r="G95" s="15"/>
      <c r="J95" s="51"/>
      <c r="K95" s="52"/>
      <c r="L95" s="53"/>
      <c r="M95" s="60"/>
      <c r="N95" s="60"/>
      <c r="O95" s="15"/>
      <c r="P95" s="77"/>
      <c r="Q95" s="63"/>
      <c r="R95" s="52"/>
      <c r="S95" s="51"/>
      <c r="T95" s="53"/>
      <c r="U95" s="53"/>
      <c r="V95" s="53"/>
      <c r="W95" s="52"/>
      <c r="X95" s="15"/>
      <c r="Y95" s="15"/>
      <c r="Z95" s="15"/>
      <c r="AA95" s="69"/>
      <c r="AB95" s="228"/>
      <c r="AC95" s="228"/>
      <c r="AD95" s="70"/>
      <c r="AE95" s="71"/>
      <c r="AF95" s="47"/>
      <c r="AG95" s="47"/>
      <c r="AH95" s="47"/>
      <c r="AI95" s="47"/>
      <c r="AJ95" s="58"/>
      <c r="AK95" s="15"/>
    </row>
    <row r="96" spans="1:39" s="13" customFormat="1" ht="20.100000000000001" customHeight="1" thickTop="1" thickBot="1">
      <c r="A96" s="116"/>
      <c r="D96" s="15"/>
      <c r="E96" s="16" t="s">
        <v>184</v>
      </c>
      <c r="F96" s="15"/>
      <c r="G96" s="15"/>
      <c r="J96" s="51"/>
      <c r="K96" s="52"/>
      <c r="L96" s="53"/>
      <c r="M96" s="60"/>
      <c r="N96" s="60"/>
      <c r="O96" s="15"/>
      <c r="P96" s="77"/>
      <c r="Q96" s="64"/>
      <c r="R96" s="52"/>
      <c r="S96" s="51"/>
      <c r="T96" s="53"/>
      <c r="U96" s="53"/>
      <c r="V96" s="53"/>
      <c r="W96" s="52"/>
      <c r="X96" s="15"/>
      <c r="Y96" s="15"/>
      <c r="Z96" s="15"/>
      <c r="AA96" s="69"/>
      <c r="AB96" s="228"/>
      <c r="AC96" s="228"/>
      <c r="AD96" s="70"/>
      <c r="AE96" s="71"/>
      <c r="AF96" s="47"/>
      <c r="AG96" s="47"/>
      <c r="AH96" s="47"/>
      <c r="AI96" s="47"/>
      <c r="AJ96" s="58"/>
      <c r="AK96" s="15"/>
    </row>
    <row r="97" spans="1:37" s="2" customFormat="1" ht="17.25" thickTop="1">
      <c r="A97"/>
      <c r="B97"/>
      <c r="C97"/>
      <c r="D97" s="15"/>
      <c r="E97" s="159" t="s">
        <v>349</v>
      </c>
      <c r="F97" s="15"/>
      <c r="G97" s="15"/>
      <c r="T97" s="15"/>
      <c r="U97" s="15"/>
      <c r="AK97" s="15"/>
    </row>
    <row r="98" spans="1:37" s="2" customFormat="1">
      <c r="A98"/>
      <c r="B98"/>
      <c r="C98"/>
      <c r="E98" s="161" t="s">
        <v>173</v>
      </c>
      <c r="T98" s="15"/>
      <c r="U98" s="15"/>
      <c r="AK98" s="15"/>
    </row>
    <row r="99" spans="1:37" s="2" customFormat="1">
      <c r="A99"/>
      <c r="B99"/>
      <c r="C99"/>
      <c r="T99" s="15"/>
      <c r="U99" s="15"/>
      <c r="AK99" s="15"/>
    </row>
    <row r="100" spans="1:37" s="2" customFormat="1">
      <c r="A100"/>
      <c r="B100"/>
      <c r="C100"/>
      <c r="T100" s="15"/>
      <c r="U100" s="15"/>
      <c r="AK100" s="15"/>
    </row>
    <row r="101" spans="1:37" s="2" customFormat="1">
      <c r="A101"/>
      <c r="B101"/>
      <c r="C101"/>
      <c r="T101" s="15"/>
      <c r="U101" s="15"/>
      <c r="AK101" s="15"/>
    </row>
    <row r="102" spans="1:37" s="2" customFormat="1">
      <c r="A102"/>
      <c r="B102"/>
      <c r="C102"/>
      <c r="T102" s="15"/>
      <c r="U102" s="15"/>
      <c r="AK102" s="15"/>
    </row>
    <row r="103" spans="1:37" s="2" customFormat="1">
      <c r="A103"/>
      <c r="B103"/>
      <c r="C103"/>
      <c r="D103" s="15"/>
      <c r="E103" s="15" t="s">
        <v>125</v>
      </c>
      <c r="F103" s="15"/>
      <c r="G103" s="15"/>
      <c r="L103" s="2">
        <f>AJ103/1.1</f>
        <v>58799.999999999993</v>
      </c>
      <c r="N103" s="40"/>
      <c r="O103" s="40"/>
      <c r="P103" s="15"/>
      <c r="T103" s="15"/>
      <c r="U103" s="15"/>
      <c r="AF103" s="15"/>
      <c r="AG103" s="15"/>
      <c r="AJ103" s="15">
        <v>64680</v>
      </c>
      <c r="AK103" s="15"/>
    </row>
    <row r="104" spans="1:37" s="2" customFormat="1">
      <c r="A104"/>
      <c r="B104"/>
      <c r="C104"/>
      <c r="D104" s="15"/>
      <c r="E104" s="15" t="s">
        <v>49</v>
      </c>
      <c r="F104" s="15"/>
      <c r="G104" s="15"/>
      <c r="N104" s="40"/>
      <c r="O104" s="40"/>
      <c r="P104" s="15"/>
      <c r="T104" s="15"/>
      <c r="U104" s="15"/>
      <c r="V104" s="15" t="s">
        <v>174</v>
      </c>
      <c r="AF104" s="15"/>
      <c r="AG104" s="15"/>
      <c r="AJ104" s="15"/>
      <c r="AK104" s="15"/>
    </row>
    <row r="106" spans="1:37" s="2" customFormat="1">
      <c r="A106"/>
      <c r="B106"/>
      <c r="C106"/>
      <c r="D106" s="15"/>
      <c r="E106" s="15"/>
      <c r="F106" s="15"/>
      <c r="G106" s="15"/>
      <c r="P106" s="15"/>
      <c r="T106" s="15"/>
      <c r="U106" s="15"/>
      <c r="AF106" s="15"/>
      <c r="AG106" s="15"/>
      <c r="AJ106" s="15"/>
      <c r="AK106" s="15"/>
    </row>
    <row r="107" spans="1:37" s="2" customFormat="1">
      <c r="A107"/>
      <c r="B107"/>
      <c r="C107"/>
      <c r="D107" s="15"/>
      <c r="E107" s="15" t="s">
        <v>134</v>
      </c>
      <c r="F107" s="15"/>
      <c r="G107" s="15"/>
      <c r="P107" s="15"/>
      <c r="T107" s="15"/>
      <c r="U107" s="15"/>
      <c r="AF107" s="15"/>
      <c r="AG107" s="15"/>
      <c r="AJ107" s="15"/>
      <c r="AK107" s="15"/>
    </row>
    <row r="108" spans="1:37" s="2" customFormat="1">
      <c r="A108"/>
      <c r="B108"/>
      <c r="C108"/>
      <c r="D108" s="15"/>
      <c r="E108" s="15" t="s">
        <v>135</v>
      </c>
      <c r="F108" s="15"/>
      <c r="G108" s="15"/>
      <c r="P108" s="15"/>
      <c r="T108" s="15"/>
      <c r="U108" s="15"/>
      <c r="AF108" s="15"/>
      <c r="AG108" s="15"/>
      <c r="AJ108" s="15"/>
      <c r="AK108" s="15"/>
    </row>
    <row r="109" spans="1:37" s="2" customFormat="1">
      <c r="A109"/>
      <c r="B109"/>
      <c r="C109"/>
      <c r="D109" s="15"/>
      <c r="E109" s="15"/>
      <c r="F109" s="15"/>
      <c r="G109" s="15"/>
      <c r="L109" s="40"/>
      <c r="M109" s="40"/>
      <c r="P109" s="15"/>
      <c r="T109" s="15"/>
      <c r="U109" s="15"/>
      <c r="AF109" s="15"/>
      <c r="AG109" s="15"/>
      <c r="AJ109" s="15"/>
      <c r="AK109" s="15"/>
    </row>
    <row r="110" spans="1:37" s="2" customFormat="1">
      <c r="A110"/>
      <c r="B110"/>
      <c r="C110"/>
      <c r="D110" s="15"/>
      <c r="E110" s="15" t="s">
        <v>69</v>
      </c>
      <c r="F110" s="15"/>
      <c r="G110" s="15"/>
      <c r="P110" s="15"/>
      <c r="T110" s="15"/>
      <c r="U110" s="15"/>
      <c r="AF110" s="15"/>
      <c r="AG110" s="15"/>
      <c r="AJ110" s="15"/>
      <c r="AK110" s="15"/>
    </row>
    <row r="111" spans="1:37" s="2" customFormat="1">
      <c r="A111"/>
      <c r="B111"/>
      <c r="C111"/>
      <c r="D111" s="15"/>
      <c r="E111" s="15"/>
      <c r="F111" s="15"/>
      <c r="G111" s="15"/>
      <c r="L111" s="41"/>
      <c r="M111" s="41"/>
      <c r="P111" s="15"/>
      <c r="T111" s="15"/>
      <c r="U111" s="15"/>
      <c r="AF111" s="15"/>
      <c r="AG111" s="15"/>
      <c r="AJ111" s="15"/>
      <c r="AK111" s="15"/>
    </row>
    <row r="112" spans="1:37" s="2" customFormat="1">
      <c r="A112"/>
      <c r="B112"/>
      <c r="C112"/>
      <c r="D112" s="15"/>
      <c r="E112" s="15"/>
      <c r="F112" s="15"/>
      <c r="G112" s="15"/>
      <c r="P112" s="15"/>
      <c r="T112" s="15"/>
      <c r="U112" s="15"/>
      <c r="AF112" s="15"/>
      <c r="AG112" s="15"/>
      <c r="AJ112" s="15"/>
      <c r="AK112" s="15"/>
    </row>
    <row r="113" spans="1:37" s="2" customFormat="1">
      <c r="A113"/>
      <c r="B113"/>
      <c r="C113"/>
      <c r="D113" s="15"/>
      <c r="E113" s="15" t="s">
        <v>133</v>
      </c>
      <c r="F113" s="15"/>
      <c r="G113" s="15"/>
      <c r="P113" s="15"/>
      <c r="T113" s="15"/>
      <c r="U113" s="15"/>
      <c r="AF113" s="15"/>
      <c r="AG113" s="15"/>
      <c r="AJ113" s="15"/>
      <c r="AK113" s="15"/>
    </row>
    <row r="114" spans="1:37" s="2" customFormat="1">
      <c r="A114"/>
      <c r="B114"/>
      <c r="C114"/>
      <c r="D114" s="15"/>
      <c r="E114" s="15" t="s">
        <v>131</v>
      </c>
      <c r="F114" s="15"/>
      <c r="G114" s="15"/>
      <c r="P114" s="15"/>
      <c r="T114" s="15"/>
      <c r="U114" s="15"/>
      <c r="AF114" s="15"/>
      <c r="AG114" s="15"/>
      <c r="AJ114" s="15"/>
      <c r="AK114" s="15"/>
    </row>
    <row r="115" spans="1:37" s="2" customFormat="1">
      <c r="A115"/>
      <c r="B115"/>
      <c r="C115"/>
      <c r="D115" s="15"/>
      <c r="E115" s="15" t="s">
        <v>132</v>
      </c>
      <c r="F115" s="15"/>
      <c r="G115" s="15"/>
      <c r="P115" s="15"/>
      <c r="T115" s="15"/>
      <c r="U115" s="15"/>
      <c r="AF115" s="15"/>
      <c r="AG115" s="15"/>
      <c r="AJ115" s="15"/>
      <c r="AK115" s="15"/>
    </row>
    <row r="116" spans="1:37" s="2" customFormat="1">
      <c r="A116"/>
      <c r="B116"/>
      <c r="C116"/>
      <c r="D116" s="15"/>
      <c r="E116" s="15"/>
      <c r="F116" s="15"/>
      <c r="G116" s="15"/>
      <c r="L116" s="42"/>
      <c r="M116" s="42"/>
      <c r="P116" s="15"/>
      <c r="T116" s="15"/>
      <c r="U116" s="15"/>
      <c r="AF116" s="15"/>
      <c r="AG116" s="15"/>
      <c r="AJ116" s="15"/>
      <c r="AK116" s="15"/>
    </row>
  </sheetData>
  <phoneticPr fontId="1" type="noConversion"/>
  <hyperlinks>
    <hyperlink ref="F18" r:id="rId1" xr:uid="{B74CFB91-919D-4A5C-96C8-0209C1045384}"/>
    <hyperlink ref="F22" r:id="rId2" xr:uid="{FAC1B0B5-7827-496C-BBCC-44BEAD75ABB6}"/>
    <hyperlink ref="F34" r:id="rId3" xr:uid="{1D538774-28BF-44C3-8128-F7BA29F33BC5}"/>
  </hyperlinks>
  <pageMargins left="0.7" right="0.7" top="0.75" bottom="0.75" header="0.3" footer="0.3"/>
  <pageSetup paperSize="9" orientation="portrait" r:id="rId4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2B6B-AF5B-4DB3-9D3B-62F793BFBFE6}">
  <dimension ref="A1:F43"/>
  <sheetViews>
    <sheetView workbookViewId="0">
      <selection activeCell="D1" sqref="D1:D1048576"/>
    </sheetView>
  </sheetViews>
  <sheetFormatPr defaultRowHeight="16.5"/>
  <sheetData>
    <row r="1" spans="1:6">
      <c r="A1" t="s">
        <v>452</v>
      </c>
      <c r="B1" t="s">
        <v>267</v>
      </c>
      <c r="C1" t="s">
        <v>453</v>
      </c>
      <c r="D1" t="s">
        <v>454</v>
      </c>
      <c r="E1" t="s">
        <v>455</v>
      </c>
      <c r="F1" t="s">
        <v>456</v>
      </c>
    </row>
    <row r="2" spans="1:6">
      <c r="A2" t="s">
        <v>457</v>
      </c>
      <c r="B2" t="s">
        <v>458</v>
      </c>
      <c r="E2">
        <v>4</v>
      </c>
    </row>
    <row r="3" spans="1:6">
      <c r="A3" t="s">
        <v>457</v>
      </c>
      <c r="B3" t="s">
        <v>231</v>
      </c>
      <c r="E3">
        <v>4</v>
      </c>
      <c r="F3">
        <v>40</v>
      </c>
    </row>
    <row r="4" spans="1:6">
      <c r="A4" t="s">
        <v>457</v>
      </c>
      <c r="B4" t="s">
        <v>459</v>
      </c>
      <c r="E4">
        <v>3</v>
      </c>
    </row>
    <row r="5" spans="1:6">
      <c r="A5" t="s">
        <v>457</v>
      </c>
      <c r="B5" t="s">
        <v>460</v>
      </c>
      <c r="E5">
        <v>5</v>
      </c>
      <c r="F5">
        <v>40</v>
      </c>
    </row>
    <row r="6" spans="1:6">
      <c r="A6" t="s">
        <v>457</v>
      </c>
      <c r="B6" t="s">
        <v>229</v>
      </c>
      <c r="E6">
        <v>4</v>
      </c>
    </row>
    <row r="7" spans="1:6">
      <c r="A7" t="s">
        <v>457</v>
      </c>
      <c r="B7" t="s">
        <v>245</v>
      </c>
      <c r="E7">
        <v>4</v>
      </c>
      <c r="F7">
        <v>50</v>
      </c>
    </row>
    <row r="8" spans="1:6">
      <c r="A8" t="s">
        <v>457</v>
      </c>
      <c r="B8" t="s">
        <v>233</v>
      </c>
      <c r="E8">
        <v>3</v>
      </c>
    </row>
    <row r="9" spans="1:6">
      <c r="A9" t="s">
        <v>461</v>
      </c>
      <c r="B9" t="s">
        <v>462</v>
      </c>
      <c r="E9">
        <v>4</v>
      </c>
    </row>
    <row r="10" spans="1:6">
      <c r="A10" t="s">
        <v>461</v>
      </c>
      <c r="B10" t="s">
        <v>237</v>
      </c>
      <c r="E10">
        <v>4</v>
      </c>
      <c r="F10">
        <v>60</v>
      </c>
    </row>
    <row r="11" spans="1:6">
      <c r="A11" t="s">
        <v>461</v>
      </c>
      <c r="B11" t="s">
        <v>463</v>
      </c>
      <c r="E11">
        <v>5</v>
      </c>
      <c r="F11">
        <v>70</v>
      </c>
    </row>
    <row r="12" spans="1:6">
      <c r="A12" t="s">
        <v>461</v>
      </c>
      <c r="B12" t="s">
        <v>239</v>
      </c>
      <c r="E12">
        <v>4</v>
      </c>
      <c r="F12">
        <v>50</v>
      </c>
    </row>
    <row r="13" spans="1:6">
      <c r="A13" t="s">
        <v>461</v>
      </c>
      <c r="B13" t="s">
        <v>251</v>
      </c>
      <c r="E13">
        <v>4</v>
      </c>
      <c r="F13">
        <v>50</v>
      </c>
    </row>
    <row r="14" spans="1:6">
      <c r="A14" t="s">
        <v>461</v>
      </c>
      <c r="B14" t="s">
        <v>464</v>
      </c>
      <c r="E14">
        <v>3</v>
      </c>
    </row>
    <row r="15" spans="1:6">
      <c r="A15" t="s">
        <v>461</v>
      </c>
      <c r="B15" t="s">
        <v>465</v>
      </c>
      <c r="E15">
        <v>5</v>
      </c>
    </row>
    <row r="16" spans="1:6">
      <c r="A16" t="s">
        <v>466</v>
      </c>
      <c r="B16" t="s">
        <v>467</v>
      </c>
      <c r="E16">
        <v>3</v>
      </c>
    </row>
    <row r="17" spans="1:6">
      <c r="A17" t="s">
        <v>466</v>
      </c>
      <c r="B17" t="s">
        <v>235</v>
      </c>
      <c r="E17">
        <v>4</v>
      </c>
    </row>
    <row r="18" spans="1:6">
      <c r="A18" t="s">
        <v>466</v>
      </c>
      <c r="B18" t="s">
        <v>468</v>
      </c>
      <c r="E18">
        <v>4</v>
      </c>
    </row>
    <row r="19" spans="1:6">
      <c r="A19" t="s">
        <v>469</v>
      </c>
      <c r="B19" t="s">
        <v>241</v>
      </c>
      <c r="E19">
        <v>4</v>
      </c>
      <c r="F19">
        <v>60</v>
      </c>
    </row>
    <row r="20" spans="1:6">
      <c r="A20" t="s">
        <v>469</v>
      </c>
      <c r="B20" t="s">
        <v>470</v>
      </c>
      <c r="E20">
        <v>4</v>
      </c>
      <c r="F20">
        <v>30</v>
      </c>
    </row>
    <row r="21" spans="1:6">
      <c r="A21" t="s">
        <v>469</v>
      </c>
      <c r="B21" t="s">
        <v>471</v>
      </c>
      <c r="E21">
        <v>4</v>
      </c>
    </row>
    <row r="22" spans="1:6">
      <c r="A22" t="s">
        <v>472</v>
      </c>
      <c r="B22" t="s">
        <v>473</v>
      </c>
      <c r="E22">
        <v>3</v>
      </c>
      <c r="F22">
        <v>50</v>
      </c>
    </row>
    <row r="23" spans="1:6">
      <c r="A23" t="s">
        <v>472</v>
      </c>
      <c r="B23" t="s">
        <v>474</v>
      </c>
      <c r="E23">
        <v>4</v>
      </c>
      <c r="F23">
        <v>60</v>
      </c>
    </row>
    <row r="24" spans="1:6">
      <c r="A24" t="s">
        <v>472</v>
      </c>
      <c r="B24" t="s">
        <v>475</v>
      </c>
      <c r="E24">
        <v>5</v>
      </c>
    </row>
    <row r="25" spans="1:6">
      <c r="A25" t="s">
        <v>472</v>
      </c>
      <c r="B25" t="s">
        <v>247</v>
      </c>
      <c r="E25">
        <v>4</v>
      </c>
    </row>
    <row r="26" spans="1:6">
      <c r="A26" t="s">
        <v>476</v>
      </c>
      <c r="B26" t="s">
        <v>477</v>
      </c>
      <c r="E26">
        <v>5</v>
      </c>
    </row>
    <row r="27" spans="1:6">
      <c r="A27" t="s">
        <v>476</v>
      </c>
      <c r="B27" t="s">
        <v>478</v>
      </c>
      <c r="E27">
        <v>5</v>
      </c>
      <c r="F27">
        <v>100</v>
      </c>
    </row>
    <row r="28" spans="1:6">
      <c r="A28" t="s">
        <v>476</v>
      </c>
      <c r="B28" t="s">
        <v>479</v>
      </c>
      <c r="E28">
        <v>4</v>
      </c>
      <c r="F28">
        <v>40</v>
      </c>
    </row>
    <row r="29" spans="1:6">
      <c r="A29" t="s">
        <v>476</v>
      </c>
      <c r="B29" t="s">
        <v>480</v>
      </c>
      <c r="E29">
        <v>4</v>
      </c>
      <c r="F29">
        <v>30</v>
      </c>
    </row>
    <row r="30" spans="1:6">
      <c r="A30" t="s">
        <v>481</v>
      </c>
      <c r="B30" t="s">
        <v>482</v>
      </c>
      <c r="E30">
        <v>4</v>
      </c>
    </row>
    <row r="31" spans="1:6">
      <c r="A31" t="s">
        <v>481</v>
      </c>
      <c r="B31" t="s">
        <v>483</v>
      </c>
      <c r="E31">
        <v>4</v>
      </c>
    </row>
    <row r="32" spans="1:6">
      <c r="A32" t="s">
        <v>484</v>
      </c>
      <c r="B32" t="s">
        <v>485</v>
      </c>
      <c r="E32">
        <v>3</v>
      </c>
      <c r="F32">
        <v>50</v>
      </c>
    </row>
    <row r="33" spans="1:6">
      <c r="A33" t="s">
        <v>484</v>
      </c>
      <c r="B33" t="s">
        <v>486</v>
      </c>
      <c r="E33">
        <v>4</v>
      </c>
      <c r="F33">
        <v>40</v>
      </c>
    </row>
    <row r="34" spans="1:6">
      <c r="A34" t="s">
        <v>484</v>
      </c>
      <c r="B34" t="s">
        <v>487</v>
      </c>
      <c r="E34">
        <v>4</v>
      </c>
      <c r="F34">
        <v>40</v>
      </c>
    </row>
    <row r="35" spans="1:6">
      <c r="A35" t="s">
        <v>488</v>
      </c>
      <c r="B35" t="s">
        <v>489</v>
      </c>
      <c r="E35">
        <v>4</v>
      </c>
      <c r="F35">
        <v>80</v>
      </c>
    </row>
    <row r="36" spans="1:6">
      <c r="A36" t="s">
        <v>488</v>
      </c>
      <c r="B36" t="s">
        <v>490</v>
      </c>
      <c r="E36">
        <v>4</v>
      </c>
      <c r="F36">
        <v>50</v>
      </c>
    </row>
    <row r="37" spans="1:6">
      <c r="A37" t="s">
        <v>488</v>
      </c>
      <c r="B37" t="s">
        <v>491</v>
      </c>
      <c r="E37">
        <v>4</v>
      </c>
    </row>
    <row r="38" spans="1:6">
      <c r="A38" t="s">
        <v>488</v>
      </c>
      <c r="B38" t="s">
        <v>492</v>
      </c>
      <c r="E38">
        <v>4</v>
      </c>
      <c r="F38">
        <v>40</v>
      </c>
    </row>
    <row r="39" spans="1:6">
      <c r="A39" t="s">
        <v>488</v>
      </c>
      <c r="B39" t="s">
        <v>249</v>
      </c>
      <c r="E39">
        <v>4</v>
      </c>
      <c r="F39">
        <v>50</v>
      </c>
    </row>
    <row r="40" spans="1:6">
      <c r="A40" t="s">
        <v>488</v>
      </c>
      <c r="B40" t="s">
        <v>493</v>
      </c>
      <c r="E40">
        <v>4</v>
      </c>
    </row>
    <row r="41" spans="1:6">
      <c r="A41" t="s">
        <v>494</v>
      </c>
      <c r="B41" t="s">
        <v>495</v>
      </c>
      <c r="E41">
        <v>4</v>
      </c>
      <c r="F41">
        <v>40</v>
      </c>
    </row>
    <row r="42" spans="1:6">
      <c r="A42" t="s">
        <v>494</v>
      </c>
      <c r="B42" t="s">
        <v>496</v>
      </c>
      <c r="E42">
        <v>4</v>
      </c>
      <c r="F42">
        <v>30</v>
      </c>
    </row>
    <row r="43" spans="1:6">
      <c r="A43" t="s">
        <v>494</v>
      </c>
      <c r="B43" t="s">
        <v>243</v>
      </c>
      <c r="E43">
        <v>4</v>
      </c>
      <c r="F43">
        <v>60</v>
      </c>
    </row>
  </sheetData>
  <autoFilter ref="A1:F43" xr:uid="{BF166A01-E723-44C8-A7D8-A7DBEBCFCDF3}"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1B12B-0AF7-4518-94D8-C71C5217873F}">
  <dimension ref="A1:AM127"/>
  <sheetViews>
    <sheetView zoomScale="85" zoomScaleNormal="85" workbookViewId="0">
      <pane ySplit="3" topLeftCell="A4" activePane="bottomLeft" state="frozen"/>
      <selection activeCell="D1" sqref="D1"/>
      <selection pane="bottomLeft" activeCell="G13" sqref="G13"/>
    </sheetView>
  </sheetViews>
  <sheetFormatPr defaultRowHeight="16.5"/>
  <cols>
    <col min="1" max="1" width="7.375" bestFit="1" customWidth="1"/>
    <col min="2" max="2" width="9.875" customWidth="1"/>
    <col min="3" max="3" width="7.375" customWidth="1"/>
    <col min="4" max="4" width="20.25" style="15" customWidth="1"/>
    <col min="5" max="5" width="20.25" style="15" bestFit="1" customWidth="1"/>
    <col min="6" max="6" width="13.875" style="15" customWidth="1"/>
    <col min="7" max="7" width="20.25" style="15" customWidth="1"/>
    <col min="8" max="11" width="9" customWidth="1"/>
    <col min="12" max="13" width="12.5" style="2" customWidth="1"/>
    <col min="14" max="15" width="10.875" style="2" customWidth="1"/>
    <col min="16" max="16" width="8.875" style="15" customWidth="1"/>
    <col min="17" max="17" width="13.5" style="2" customWidth="1"/>
    <col min="18" max="18" width="9.25" style="2" customWidth="1"/>
    <col min="19" max="19" width="10" style="2" customWidth="1"/>
    <col min="20" max="20" width="8.25" style="15" bestFit="1" customWidth="1"/>
    <col min="21" max="21" width="8.25" style="15" customWidth="1"/>
    <col min="22" max="30" width="9" style="2"/>
    <col min="31" max="31" width="30.625" style="2" customWidth="1"/>
    <col min="32" max="33" width="20.25" style="15" customWidth="1"/>
    <col min="34" max="34" width="9" style="2" customWidth="1"/>
    <col min="35" max="35" width="9" style="2"/>
    <col min="36" max="37" width="15.125" style="15" customWidth="1"/>
    <col min="38" max="38" width="9" style="2" customWidth="1"/>
    <col min="39" max="39" width="9" style="2"/>
  </cols>
  <sheetData>
    <row r="1" spans="1:39">
      <c r="H1" s="2"/>
      <c r="I1" s="2"/>
      <c r="J1" s="2"/>
      <c r="K1" s="2"/>
      <c r="N1" s="15"/>
      <c r="P1" s="2"/>
      <c r="R1" s="15"/>
      <c r="S1" s="15"/>
      <c r="T1" s="2"/>
      <c r="U1" s="2"/>
      <c r="AD1" s="15"/>
      <c r="AE1" s="15"/>
      <c r="AJ1"/>
      <c r="AK1"/>
      <c r="AL1"/>
      <c r="AM1"/>
    </row>
    <row r="2" spans="1:39" ht="17.25" thickBot="1">
      <c r="H2" s="2"/>
      <c r="I2" s="2"/>
      <c r="J2" s="2"/>
      <c r="K2" s="2"/>
      <c r="N2" s="15"/>
      <c r="P2" s="2"/>
      <c r="R2" s="15"/>
      <c r="S2" s="15"/>
      <c r="T2" s="2"/>
      <c r="U2" s="2"/>
      <c r="AD2" s="15"/>
      <c r="AE2" s="15"/>
      <c r="AJ2"/>
      <c r="AK2"/>
      <c r="AL2"/>
      <c r="AM2"/>
    </row>
    <row r="3" spans="1:39" s="13" customFormat="1" ht="23.25" customHeight="1" thickBot="1">
      <c r="A3" s="115" t="s">
        <v>200</v>
      </c>
      <c r="B3" s="114"/>
      <c r="C3" s="114"/>
      <c r="D3" s="75" t="s">
        <v>427</v>
      </c>
      <c r="E3" s="59" t="s">
        <v>198</v>
      </c>
      <c r="F3" s="75" t="s">
        <v>426</v>
      </c>
      <c r="G3" s="75" t="s">
        <v>427</v>
      </c>
      <c r="H3" s="17" t="s">
        <v>75</v>
      </c>
      <c r="I3" s="62" t="s">
        <v>300</v>
      </c>
      <c r="J3" s="18" t="s">
        <v>72</v>
      </c>
      <c r="K3" s="59" t="s">
        <v>74</v>
      </c>
      <c r="L3" s="222" t="s">
        <v>371</v>
      </c>
      <c r="M3" s="222" t="s">
        <v>299</v>
      </c>
      <c r="N3" s="76" t="s">
        <v>190</v>
      </c>
      <c r="O3" s="62" t="s">
        <v>156</v>
      </c>
      <c r="P3" s="19" t="s">
        <v>121</v>
      </c>
      <c r="Q3" s="54" t="s">
        <v>54</v>
      </c>
      <c r="R3" s="202" t="s">
        <v>116</v>
      </c>
      <c r="S3" s="202" t="s">
        <v>339</v>
      </c>
      <c r="T3" s="55" t="s">
        <v>189</v>
      </c>
      <c r="U3" s="56" t="s">
        <v>53</v>
      </c>
      <c r="V3" s="225" t="s">
        <v>370</v>
      </c>
      <c r="W3" s="225" t="s">
        <v>373</v>
      </c>
      <c r="X3" s="225" t="s">
        <v>374</v>
      </c>
      <c r="Y3" s="66" t="s">
        <v>195</v>
      </c>
      <c r="Z3" s="227" t="s">
        <v>375</v>
      </c>
      <c r="AA3" s="227" t="s">
        <v>376</v>
      </c>
      <c r="AB3" s="67" t="s">
        <v>196</v>
      </c>
      <c r="AC3" s="68" t="s">
        <v>197</v>
      </c>
      <c r="AD3" s="75" t="s">
        <v>378</v>
      </c>
      <c r="AE3" s="75" t="s">
        <v>361</v>
      </c>
      <c r="AF3" s="75" t="s">
        <v>159</v>
      </c>
      <c r="AG3" s="75" t="s">
        <v>11</v>
      </c>
      <c r="AH3" s="19" t="s">
        <v>199</v>
      </c>
      <c r="AI3" s="15"/>
    </row>
    <row r="4" spans="1:39" s="13" customFormat="1" ht="23.25" customHeight="1" thickTop="1" thickBot="1">
      <c r="A4" s="115"/>
      <c r="B4" s="13">
        <v>251110</v>
      </c>
      <c r="C4" s="13" t="s">
        <v>436</v>
      </c>
      <c r="D4" s="15">
        <v>2064392403</v>
      </c>
      <c r="E4" s="13" t="s">
        <v>419</v>
      </c>
      <c r="F4" s="13" t="s">
        <v>420</v>
      </c>
      <c r="G4" s="15">
        <v>2064392403</v>
      </c>
      <c r="H4" s="16">
        <v>200</v>
      </c>
      <c r="I4" s="47"/>
      <c r="J4" s="47"/>
      <c r="K4" s="51"/>
      <c r="L4" s="15"/>
      <c r="M4" s="15"/>
      <c r="N4" s="78">
        <v>100</v>
      </c>
      <c r="O4" s="57">
        <v>100</v>
      </c>
      <c r="P4" s="57"/>
      <c r="Q4" s="214"/>
      <c r="R4" s="215"/>
      <c r="S4" s="216"/>
      <c r="T4" s="217"/>
      <c r="U4" s="218"/>
      <c r="V4" s="226"/>
      <c r="W4" s="226"/>
      <c r="X4" s="226"/>
      <c r="Y4" s="69"/>
      <c r="Z4" s="228"/>
      <c r="AA4" s="228"/>
      <c r="AB4" s="70"/>
      <c r="AC4" s="71"/>
      <c r="AD4" s="27"/>
      <c r="AE4" s="27"/>
      <c r="AF4" s="47"/>
      <c r="AG4" s="47"/>
      <c r="AH4" s="58"/>
      <c r="AI4" s="15"/>
    </row>
    <row r="5" spans="1:39" s="13" customFormat="1" ht="23.25" customHeight="1" thickTop="1" thickBot="1">
      <c r="A5" s="115"/>
      <c r="D5" s="15"/>
      <c r="E5" s="16" t="s">
        <v>437</v>
      </c>
      <c r="F5" s="27"/>
      <c r="G5" s="27"/>
      <c r="H5" s="64"/>
      <c r="I5" s="64"/>
      <c r="J5" s="14"/>
      <c r="K5" s="16"/>
      <c r="L5" s="15"/>
      <c r="M5" s="15"/>
      <c r="N5" s="78"/>
      <c r="O5" s="64"/>
      <c r="P5" s="57"/>
      <c r="Q5" s="214"/>
      <c r="R5" s="215"/>
      <c r="S5" s="216"/>
      <c r="T5" s="217"/>
      <c r="U5" s="218"/>
      <c r="V5" s="226"/>
      <c r="W5" s="226"/>
      <c r="X5" s="226"/>
      <c r="Y5" s="69"/>
      <c r="Z5" s="228"/>
      <c r="AA5" s="228"/>
      <c r="AB5" s="70"/>
      <c r="AC5" s="71"/>
      <c r="AD5" s="233"/>
      <c r="AE5" s="233"/>
      <c r="AF5" s="47"/>
      <c r="AG5" s="47"/>
      <c r="AH5" s="58"/>
      <c r="AI5" s="15"/>
    </row>
    <row r="6" spans="1:39" s="13" customFormat="1" ht="23.25" customHeight="1" thickTop="1" thickBot="1">
      <c r="A6" s="115"/>
      <c r="D6" s="15"/>
      <c r="E6" s="16"/>
      <c r="F6" s="27"/>
      <c r="G6" s="27"/>
      <c r="H6" s="64"/>
      <c r="I6" s="64"/>
      <c r="J6" s="14"/>
      <c r="K6" s="16"/>
      <c r="L6" s="15"/>
      <c r="M6" s="15"/>
      <c r="N6" s="78"/>
      <c r="O6" s="64"/>
      <c r="P6" s="57"/>
      <c r="Q6" s="214"/>
      <c r="R6" s="215"/>
      <c r="S6" s="216"/>
      <c r="T6" s="217"/>
      <c r="U6" s="218"/>
      <c r="V6" s="226"/>
      <c r="W6" s="226"/>
      <c r="X6" s="226"/>
      <c r="Y6" s="69"/>
      <c r="Z6" s="228"/>
      <c r="AA6" s="228"/>
      <c r="AB6" s="70"/>
      <c r="AC6" s="71"/>
      <c r="AD6" s="233"/>
      <c r="AE6" s="233"/>
      <c r="AF6" s="47"/>
      <c r="AG6" s="47"/>
      <c r="AH6" s="58"/>
      <c r="AI6" s="15"/>
    </row>
    <row r="7" spans="1:39" s="13" customFormat="1" ht="23.25" customHeight="1" thickTop="1" thickBot="1">
      <c r="A7" s="115"/>
      <c r="D7" s="15"/>
      <c r="G7" s="15"/>
      <c r="H7" s="16"/>
      <c r="I7" s="47"/>
      <c r="J7" s="47"/>
      <c r="K7" s="51"/>
      <c r="L7" s="15"/>
      <c r="M7" s="15"/>
      <c r="N7" s="78"/>
      <c r="O7" s="64"/>
      <c r="P7" s="57"/>
      <c r="Q7" s="214"/>
      <c r="R7" s="215"/>
      <c r="S7" s="216"/>
      <c r="T7" s="217"/>
      <c r="U7" s="218"/>
      <c r="V7" s="226"/>
      <c r="W7" s="226"/>
      <c r="X7" s="226"/>
      <c r="Y7" s="69"/>
      <c r="Z7" s="228"/>
      <c r="AA7" s="228"/>
      <c r="AB7" s="70"/>
      <c r="AC7" s="71"/>
      <c r="AD7" s="27"/>
      <c r="AE7" s="27"/>
      <c r="AF7" s="47"/>
      <c r="AG7" s="47"/>
      <c r="AH7" s="58"/>
      <c r="AI7" s="15"/>
    </row>
    <row r="8" spans="1:39" ht="17.25" thickTop="1">
      <c r="D8" s="15">
        <v>1282597447</v>
      </c>
      <c r="E8" s="13" t="s">
        <v>417</v>
      </c>
      <c r="F8" s="13" t="s">
        <v>418</v>
      </c>
      <c r="G8" s="15">
        <v>1282597447</v>
      </c>
      <c r="H8" s="16"/>
      <c r="I8" s="47"/>
      <c r="J8" s="47"/>
      <c r="K8" s="51"/>
      <c r="N8" s="15"/>
      <c r="P8" s="2"/>
      <c r="R8" s="15"/>
      <c r="S8" s="15"/>
      <c r="T8" s="2"/>
      <c r="U8" s="2"/>
      <c r="AD8" s="15"/>
      <c r="AE8" s="15"/>
      <c r="AF8" s="2"/>
      <c r="AG8" s="2"/>
      <c r="AH8" s="15"/>
      <c r="AI8" s="15"/>
      <c r="AJ8" s="2"/>
      <c r="AK8" s="2"/>
      <c r="AL8"/>
      <c r="AM8"/>
    </row>
    <row r="9" spans="1:39" s="13" customFormat="1" ht="20.100000000000001" customHeight="1" thickBot="1">
      <c r="D9" s="15">
        <v>1108685948</v>
      </c>
      <c r="E9" s="13" t="s">
        <v>415</v>
      </c>
      <c r="F9" s="13" t="s">
        <v>416</v>
      </c>
      <c r="G9" s="15">
        <v>1108685948</v>
      </c>
      <c r="H9" s="16"/>
      <c r="I9" s="47"/>
      <c r="J9" s="47"/>
      <c r="K9" s="51"/>
      <c r="L9" s="15"/>
      <c r="M9" s="15"/>
      <c r="N9" s="83"/>
      <c r="O9" s="64"/>
      <c r="P9" s="57"/>
      <c r="Q9" s="29"/>
      <c r="R9" s="14"/>
      <c r="S9" s="14"/>
      <c r="T9" s="14"/>
      <c r="U9" s="57"/>
      <c r="V9" s="15"/>
      <c r="W9" s="15"/>
      <c r="X9" s="15"/>
      <c r="Y9" s="69"/>
      <c r="Z9" s="228"/>
      <c r="AA9" s="228"/>
      <c r="AB9" s="70"/>
      <c r="AC9" s="71"/>
      <c r="AD9" s="27"/>
      <c r="AE9" s="27"/>
      <c r="AF9" s="47"/>
      <c r="AG9" s="47"/>
      <c r="AH9" s="15"/>
      <c r="AI9" s="15"/>
    </row>
    <row r="10" spans="1:39" s="13" customFormat="1" ht="20.100000000000001" customHeight="1" thickTop="1" thickBot="1">
      <c r="A10" s="116"/>
      <c r="D10" s="15">
        <v>2022575390</v>
      </c>
      <c r="E10" s="13" t="s">
        <v>413</v>
      </c>
      <c r="F10" s="13" t="s">
        <v>414</v>
      </c>
      <c r="G10" s="15">
        <v>2022575390</v>
      </c>
      <c r="H10" s="16"/>
      <c r="I10" s="47"/>
      <c r="J10" s="47"/>
      <c r="K10" s="51"/>
      <c r="L10" s="15"/>
      <c r="M10" s="15"/>
      <c r="N10" s="77"/>
      <c r="O10" s="64"/>
      <c r="P10" s="52"/>
      <c r="Q10" s="51"/>
      <c r="R10" s="53"/>
      <c r="S10" s="53"/>
      <c r="T10" s="53"/>
      <c r="U10" s="52"/>
      <c r="V10" s="15"/>
      <c r="W10" s="15"/>
      <c r="X10" s="15"/>
      <c r="Y10" s="69"/>
      <c r="Z10" s="228"/>
      <c r="AA10" s="228"/>
      <c r="AB10" s="70"/>
      <c r="AC10" s="71"/>
      <c r="AD10" s="47"/>
      <c r="AE10" s="47"/>
      <c r="AF10" s="47"/>
      <c r="AG10" s="47"/>
      <c r="AH10" s="58"/>
      <c r="AI10" s="15"/>
    </row>
    <row r="11" spans="1:39" s="13" customFormat="1" ht="20.100000000000001" customHeight="1" thickTop="1">
      <c r="D11" s="15"/>
      <c r="G11" s="15"/>
      <c r="H11" s="16"/>
      <c r="I11" s="47"/>
      <c r="J11" s="47"/>
      <c r="K11" s="51"/>
      <c r="L11" s="15"/>
      <c r="M11" s="15"/>
      <c r="N11" s="83"/>
      <c r="O11" s="64"/>
      <c r="P11" s="57"/>
      <c r="Q11" s="213"/>
      <c r="R11" s="14"/>
      <c r="S11" s="14"/>
      <c r="T11" s="64"/>
      <c r="U11" s="57"/>
      <c r="V11" s="15"/>
      <c r="W11" s="15"/>
      <c r="X11" s="15"/>
      <c r="Y11" s="69"/>
      <c r="Z11" s="228"/>
      <c r="AA11" s="228"/>
      <c r="AB11" s="70"/>
      <c r="AC11" s="71"/>
      <c r="AD11" s="27"/>
      <c r="AE11" s="27"/>
      <c r="AF11" s="47"/>
      <c r="AG11" s="47"/>
      <c r="AH11" s="15"/>
      <c r="AI11" s="15"/>
    </row>
    <row r="12" spans="1:39" s="13" customFormat="1" ht="23.25" customHeight="1" thickBot="1">
      <c r="A12" s="115"/>
      <c r="D12" s="15"/>
      <c r="E12" s="13" t="s">
        <v>346</v>
      </c>
      <c r="G12" s="15"/>
      <c r="H12" s="16"/>
      <c r="I12" s="47"/>
      <c r="J12" s="47"/>
      <c r="K12" s="51"/>
      <c r="L12" s="15"/>
      <c r="M12" s="15"/>
      <c r="N12" s="78"/>
      <c r="O12" s="64"/>
      <c r="P12" s="57"/>
      <c r="Q12" s="214"/>
      <c r="R12" s="215"/>
      <c r="S12" s="216"/>
      <c r="T12" s="217"/>
      <c r="U12" s="218"/>
      <c r="V12" s="226"/>
      <c r="W12" s="226"/>
      <c r="X12" s="226"/>
      <c r="Y12" s="69"/>
      <c r="Z12" s="228"/>
      <c r="AA12" s="228"/>
      <c r="AB12" s="70"/>
      <c r="AC12" s="71"/>
      <c r="AD12" s="27"/>
      <c r="AE12" s="27"/>
      <c r="AF12" s="47"/>
      <c r="AG12" s="47"/>
      <c r="AH12" s="58"/>
      <c r="AI12" s="15"/>
    </row>
    <row r="13" spans="1:39" s="13" customFormat="1" ht="23.25" customHeight="1" thickTop="1" thickBot="1">
      <c r="A13" s="115"/>
      <c r="D13" s="15"/>
      <c r="E13" s="13" t="s">
        <v>347</v>
      </c>
      <c r="G13" s="15"/>
      <c r="H13" s="16"/>
      <c r="I13" s="47"/>
      <c r="J13" s="47"/>
      <c r="K13" s="51"/>
      <c r="L13" s="15"/>
      <c r="M13" s="15"/>
      <c r="N13" s="78"/>
      <c r="O13" s="64"/>
      <c r="P13" s="57"/>
      <c r="Q13" s="214"/>
      <c r="R13" s="215"/>
      <c r="S13" s="216"/>
      <c r="T13" s="217"/>
      <c r="U13" s="218"/>
      <c r="V13" s="226"/>
      <c r="W13" s="226"/>
      <c r="X13" s="226"/>
      <c r="Y13" s="69"/>
      <c r="Z13" s="228"/>
      <c r="AA13" s="228"/>
      <c r="AB13" s="70"/>
      <c r="AC13" s="71"/>
      <c r="AD13" s="27"/>
      <c r="AE13" s="27"/>
      <c r="AF13" s="47"/>
      <c r="AG13" s="47"/>
      <c r="AH13" s="58"/>
      <c r="AI13" s="15"/>
    </row>
    <row r="14" spans="1:39" s="13" customFormat="1" ht="20.100000000000001" customHeight="1" thickTop="1" thickBot="1">
      <c r="A14" s="116"/>
      <c r="D14" s="15">
        <v>1768171911</v>
      </c>
      <c r="E14" s="13" t="s">
        <v>411</v>
      </c>
      <c r="F14" s="13" t="s">
        <v>412</v>
      </c>
      <c r="G14" s="15">
        <v>1768171911</v>
      </c>
      <c r="H14" s="16"/>
      <c r="I14" s="47"/>
      <c r="J14" s="47"/>
      <c r="K14" s="51"/>
      <c r="L14" s="15"/>
      <c r="M14" s="15"/>
      <c r="N14" s="77"/>
      <c r="O14" s="64"/>
      <c r="P14" s="52"/>
      <c r="Q14" s="51"/>
      <c r="R14" s="53"/>
      <c r="S14" s="53"/>
      <c r="T14" s="53"/>
      <c r="U14" s="52"/>
      <c r="V14" s="15"/>
      <c r="W14" s="15"/>
      <c r="X14" s="15"/>
      <c r="Y14" s="69"/>
      <c r="Z14" s="228"/>
      <c r="AA14" s="228"/>
      <c r="AB14" s="70"/>
      <c r="AC14" s="71"/>
      <c r="AD14" s="47"/>
      <c r="AE14" s="47"/>
      <c r="AF14" s="47"/>
      <c r="AG14" s="47"/>
      <c r="AH14" s="58"/>
      <c r="AI14" s="15"/>
    </row>
    <row r="15" spans="1:39" s="13" customFormat="1" ht="20.100000000000001" customHeight="1" thickTop="1" thickBot="1">
      <c r="A15" s="116"/>
      <c r="D15" s="15">
        <v>1773775267</v>
      </c>
      <c r="E15" s="13" t="s">
        <v>421</v>
      </c>
      <c r="F15" s="13" t="s">
        <v>422</v>
      </c>
      <c r="G15" s="15">
        <v>1773775267</v>
      </c>
      <c r="H15" s="16"/>
      <c r="I15" s="47"/>
      <c r="J15" s="47"/>
      <c r="K15" s="51"/>
      <c r="L15" s="15"/>
      <c r="M15" s="15"/>
      <c r="N15" s="77"/>
      <c r="O15" s="64"/>
      <c r="P15" s="52"/>
      <c r="Q15" s="51"/>
      <c r="R15" s="53"/>
      <c r="S15" s="53"/>
      <c r="T15" s="53"/>
      <c r="U15" s="52"/>
      <c r="V15" s="15"/>
      <c r="W15" s="15"/>
      <c r="X15" s="15"/>
      <c r="Y15" s="69"/>
      <c r="Z15" s="228"/>
      <c r="AA15" s="228"/>
      <c r="AB15" s="70"/>
      <c r="AC15" s="71"/>
      <c r="AD15" s="47"/>
      <c r="AE15" s="47"/>
      <c r="AF15" s="47"/>
      <c r="AG15" s="47"/>
      <c r="AH15" s="58"/>
      <c r="AI15" s="15"/>
    </row>
    <row r="16" spans="1:39" s="13" customFormat="1" ht="20.100000000000001" customHeight="1" thickTop="1" thickBot="1">
      <c r="A16" s="116"/>
      <c r="D16" s="15">
        <v>2047453115</v>
      </c>
      <c r="E16" s="13" t="s">
        <v>423</v>
      </c>
      <c r="F16" s="13" t="s">
        <v>424</v>
      </c>
      <c r="G16" s="15">
        <v>2047453115</v>
      </c>
      <c r="H16" s="16"/>
      <c r="I16" s="47"/>
      <c r="J16" s="47"/>
      <c r="K16" s="51"/>
      <c r="L16" s="15"/>
      <c r="M16" s="15"/>
      <c r="N16" s="77"/>
      <c r="O16" s="64"/>
      <c r="P16" s="52"/>
      <c r="Q16" s="51"/>
      <c r="R16" s="53"/>
      <c r="S16" s="53"/>
      <c r="T16" s="53"/>
      <c r="U16" s="52"/>
      <c r="V16" s="15"/>
      <c r="W16" s="15"/>
      <c r="X16" s="15"/>
      <c r="Y16" s="69"/>
      <c r="Z16" s="228"/>
      <c r="AA16" s="228"/>
      <c r="AB16" s="70"/>
      <c r="AC16" s="71"/>
      <c r="AD16" s="47"/>
      <c r="AE16" s="47"/>
      <c r="AF16" s="47"/>
      <c r="AG16" s="47"/>
      <c r="AH16" s="58"/>
      <c r="AI16" s="15"/>
    </row>
    <row r="17" spans="1:39" s="13" customFormat="1" ht="20.100000000000001" customHeight="1" thickTop="1" thickBot="1">
      <c r="A17" s="116"/>
      <c r="B17" s="13" t="s">
        <v>193</v>
      </c>
      <c r="D17" s="15">
        <v>1138528583</v>
      </c>
      <c r="E17" s="13" t="s">
        <v>175</v>
      </c>
      <c r="F17" s="13" t="s">
        <v>410</v>
      </c>
      <c r="G17" s="15">
        <v>1138528583</v>
      </c>
      <c r="H17" s="16"/>
      <c r="I17" s="47"/>
      <c r="J17" s="47"/>
      <c r="K17" s="51"/>
      <c r="L17" s="15"/>
      <c r="M17" s="15"/>
      <c r="N17" s="77"/>
      <c r="O17" s="64"/>
      <c r="P17" s="52"/>
      <c r="Q17" s="51"/>
      <c r="R17" s="53"/>
      <c r="S17" s="53"/>
      <c r="T17" s="53"/>
      <c r="U17" s="52"/>
      <c r="V17" s="15"/>
      <c r="W17" s="15"/>
      <c r="X17" s="15"/>
      <c r="Y17" s="69"/>
      <c r="Z17" s="228"/>
      <c r="AA17" s="228"/>
      <c r="AB17" s="70"/>
      <c r="AC17" s="71"/>
      <c r="AD17" s="47"/>
      <c r="AE17" s="47"/>
      <c r="AF17" s="47"/>
      <c r="AG17" s="47"/>
      <c r="AH17" s="58"/>
      <c r="AI17" s="15"/>
    </row>
    <row r="18" spans="1:39" ht="20.100000000000001" customHeight="1" thickTop="1" thickBot="1">
      <c r="A18" s="116"/>
      <c r="B18" s="13"/>
      <c r="C18" s="13"/>
      <c r="D18" s="15">
        <v>1374995918</v>
      </c>
      <c r="E18" s="13" t="s">
        <v>409</v>
      </c>
      <c r="F18" s="13" t="s">
        <v>428</v>
      </c>
      <c r="G18" s="15">
        <v>1374995918</v>
      </c>
      <c r="H18" s="16"/>
      <c r="I18" s="47"/>
      <c r="J18" s="47"/>
      <c r="K18" s="51"/>
      <c r="L18" s="15"/>
      <c r="M18" s="15"/>
      <c r="N18" s="77"/>
      <c r="O18" s="129"/>
      <c r="P18" s="21"/>
      <c r="Q18" s="29"/>
      <c r="R18" s="14"/>
      <c r="S18" s="14"/>
      <c r="T18" s="5"/>
      <c r="U18" s="21"/>
      <c r="Y18" s="69"/>
      <c r="Z18" s="228"/>
      <c r="AA18" s="228"/>
      <c r="AB18" s="70"/>
      <c r="AC18" s="71"/>
      <c r="AD18" s="27"/>
      <c r="AE18" s="27"/>
      <c r="AF18" s="27"/>
      <c r="AG18" s="27"/>
      <c r="AH18" s="58"/>
      <c r="AJ18"/>
      <c r="AK18"/>
      <c r="AL18"/>
      <c r="AM18"/>
    </row>
    <row r="19" spans="1:39" s="13" customFormat="1" ht="20.100000000000001" customHeight="1" thickTop="1" thickBot="1">
      <c r="A19" s="116"/>
      <c r="D19" s="15">
        <v>37775617</v>
      </c>
      <c r="E19" s="13" t="s">
        <v>360</v>
      </c>
      <c r="G19" s="15">
        <v>37775617</v>
      </c>
      <c r="H19" s="16"/>
      <c r="I19" s="47"/>
      <c r="J19" s="47"/>
      <c r="K19" s="51"/>
      <c r="L19" s="15"/>
      <c r="M19" s="15"/>
      <c r="N19" s="77"/>
      <c r="O19" s="64"/>
      <c r="P19" s="52"/>
      <c r="Q19" s="51"/>
      <c r="R19" s="53"/>
      <c r="S19" s="53"/>
      <c r="T19" s="53"/>
      <c r="U19" s="52"/>
      <c r="V19" s="15"/>
      <c r="W19" s="15"/>
      <c r="X19" s="15"/>
      <c r="Y19" s="69"/>
      <c r="Z19" s="228"/>
      <c r="AA19" s="228"/>
      <c r="AB19" s="70"/>
      <c r="AC19" s="71"/>
      <c r="AD19" s="47"/>
      <c r="AE19" s="47"/>
      <c r="AF19" s="47"/>
      <c r="AG19" s="47"/>
      <c r="AH19" s="58"/>
      <c r="AI19" s="15"/>
    </row>
    <row r="20" spans="1:39" s="13" customFormat="1" ht="20.100000000000001" customHeight="1" thickTop="1" thickBot="1">
      <c r="A20" s="116"/>
      <c r="B20" s="13" t="s">
        <v>194</v>
      </c>
      <c r="D20" s="15">
        <v>1382904718</v>
      </c>
      <c r="E20" s="13" t="s">
        <v>403</v>
      </c>
      <c r="F20" s="13" t="s">
        <v>404</v>
      </c>
      <c r="G20" s="15">
        <v>1382904718</v>
      </c>
      <c r="H20" s="16"/>
      <c r="I20" s="47"/>
      <c r="J20" s="47"/>
      <c r="K20" s="51"/>
      <c r="L20" s="15"/>
      <c r="M20" s="15"/>
      <c r="N20" s="77"/>
      <c r="O20" s="64"/>
      <c r="P20" s="52"/>
      <c r="Q20" s="51"/>
      <c r="R20" s="53"/>
      <c r="S20" s="53"/>
      <c r="T20" s="53"/>
      <c r="U20" s="52"/>
      <c r="V20" s="15"/>
      <c r="W20" s="15"/>
      <c r="X20" s="15"/>
      <c r="Y20" s="69"/>
      <c r="Z20" s="228"/>
      <c r="AA20" s="228"/>
      <c r="AB20" s="70"/>
      <c r="AC20" s="71"/>
      <c r="AD20" s="47"/>
      <c r="AE20" s="47"/>
      <c r="AF20" s="47"/>
      <c r="AG20" s="47"/>
      <c r="AH20" s="58"/>
      <c r="AI20" s="15"/>
    </row>
    <row r="21" spans="1:39" s="13" customFormat="1" ht="20.100000000000001" customHeight="1" thickTop="1" thickBot="1">
      <c r="A21" s="116"/>
      <c r="D21" s="15">
        <v>1024294111</v>
      </c>
      <c r="E21" s="13" t="s">
        <v>407</v>
      </c>
      <c r="F21" s="13" t="s">
        <v>408</v>
      </c>
      <c r="G21" s="15">
        <v>1024294111</v>
      </c>
      <c r="H21" s="16"/>
      <c r="I21" s="47"/>
      <c r="J21" s="47"/>
      <c r="K21" s="51"/>
      <c r="L21" s="15"/>
      <c r="M21" s="15"/>
      <c r="N21" s="77"/>
      <c r="O21" s="64"/>
      <c r="P21" s="52"/>
      <c r="Q21" s="51"/>
      <c r="R21" s="53"/>
      <c r="S21" s="53"/>
      <c r="T21" s="53"/>
      <c r="U21" s="52"/>
      <c r="V21" s="15"/>
      <c r="W21" s="15"/>
      <c r="X21" s="15"/>
      <c r="Y21" s="69"/>
      <c r="Z21" s="228"/>
      <c r="AA21" s="228"/>
      <c r="AB21" s="70"/>
      <c r="AC21" s="71"/>
      <c r="AD21" s="47"/>
      <c r="AE21" s="47"/>
      <c r="AF21" s="47"/>
      <c r="AG21" s="47"/>
      <c r="AH21" s="58"/>
      <c r="AI21" s="15"/>
    </row>
    <row r="22" spans="1:39" s="13" customFormat="1" ht="20.100000000000001" customHeight="1" thickTop="1" thickBot="1">
      <c r="A22" s="116"/>
      <c r="D22" s="15">
        <v>2044480569</v>
      </c>
      <c r="E22" s="13" t="s">
        <v>405</v>
      </c>
      <c r="F22" s="13" t="s">
        <v>406</v>
      </c>
      <c r="G22" s="15">
        <v>2044480569</v>
      </c>
      <c r="H22" s="16"/>
      <c r="I22" s="47"/>
      <c r="J22" s="47"/>
      <c r="K22" s="51"/>
      <c r="L22" s="15"/>
      <c r="M22" s="15"/>
      <c r="N22" s="77"/>
      <c r="O22" s="64"/>
      <c r="P22" s="52"/>
      <c r="Q22" s="51"/>
      <c r="R22" s="53"/>
      <c r="S22" s="53"/>
      <c r="T22" s="53"/>
      <c r="U22" s="52"/>
      <c r="V22" s="15"/>
      <c r="W22" s="15"/>
      <c r="X22" s="15"/>
      <c r="Y22" s="69"/>
      <c r="Z22" s="228"/>
      <c r="AA22" s="228"/>
      <c r="AB22" s="70"/>
      <c r="AC22" s="71"/>
      <c r="AD22" t="s">
        <v>358</v>
      </c>
      <c r="AE22" s="220"/>
      <c r="AF22" s="47"/>
      <c r="AG22" s="47"/>
      <c r="AH22" s="58"/>
      <c r="AI22" s="15"/>
    </row>
    <row r="23" spans="1:39" s="13" customFormat="1" ht="20.100000000000001" customHeight="1" thickTop="1" thickBot="1">
      <c r="D23" s="15"/>
      <c r="G23" s="15"/>
      <c r="H23" s="16"/>
      <c r="I23" s="47"/>
      <c r="J23" s="47"/>
      <c r="K23" s="51"/>
      <c r="L23" s="15"/>
      <c r="M23" s="15"/>
      <c r="N23" s="83"/>
      <c r="O23" s="64"/>
      <c r="P23" s="57"/>
      <c r="Q23" s="213"/>
      <c r="R23" s="14"/>
      <c r="S23" s="14"/>
      <c r="T23" s="64"/>
      <c r="U23" s="57"/>
      <c r="V23" s="15"/>
      <c r="W23" s="15"/>
      <c r="X23" s="15"/>
      <c r="Y23" s="69"/>
      <c r="Z23" s="228"/>
      <c r="AA23" s="228"/>
      <c r="AB23" s="70"/>
      <c r="AC23" s="71"/>
      <c r="AD23" s="27"/>
      <c r="AE23" s="224"/>
      <c r="AF23" s="15"/>
      <c r="AG23" s="15"/>
      <c r="AH23" s="15"/>
      <c r="AI23" s="15"/>
    </row>
    <row r="24" spans="1:39" s="13" customFormat="1" ht="20.100000000000001" customHeight="1" thickTop="1" thickBot="1">
      <c r="A24" s="116"/>
      <c r="C24" s="13" t="s">
        <v>377</v>
      </c>
      <c r="D24" s="15">
        <v>1409613427</v>
      </c>
      <c r="E24" s="13" t="s">
        <v>185</v>
      </c>
      <c r="F24" s="13" t="s">
        <v>402</v>
      </c>
      <c r="G24" s="15">
        <v>1409613427</v>
      </c>
      <c r="H24" s="16"/>
      <c r="I24" s="47"/>
      <c r="J24" s="47"/>
      <c r="K24" s="51"/>
      <c r="L24" s="15"/>
      <c r="M24" s="15"/>
      <c r="N24" s="77"/>
      <c r="O24" s="64"/>
      <c r="P24" s="52"/>
      <c r="Q24" s="51"/>
      <c r="R24" s="53"/>
      <c r="S24" s="53"/>
      <c r="T24" s="53"/>
      <c r="U24" s="52"/>
      <c r="V24" s="15"/>
      <c r="W24" s="15"/>
      <c r="X24" s="15"/>
      <c r="Y24" s="69"/>
      <c r="Z24" s="228"/>
      <c r="AA24" s="228"/>
      <c r="AB24" s="70"/>
      <c r="AC24" s="71"/>
      <c r="AD24" s="47"/>
      <c r="AE24" s="47"/>
      <c r="AF24" s="47"/>
      <c r="AG24" s="47"/>
      <c r="AH24" s="58"/>
      <c r="AI24" s="15"/>
    </row>
    <row r="25" spans="1:39" ht="18" customHeight="1" thickTop="1" thickBot="1">
      <c r="B25" s="13" t="s">
        <v>191</v>
      </c>
      <c r="C25" s="13"/>
      <c r="D25" s="15">
        <v>1022013892</v>
      </c>
      <c r="E25" s="13" t="s">
        <v>379</v>
      </c>
      <c r="F25" s="13" t="s">
        <v>381</v>
      </c>
      <c r="G25" s="15">
        <v>1022013892</v>
      </c>
      <c r="H25" s="16"/>
      <c r="I25" s="47"/>
      <c r="J25" s="47"/>
      <c r="K25" s="51"/>
      <c r="L25" s="15"/>
      <c r="M25" s="15"/>
      <c r="N25" s="77"/>
      <c r="O25" s="64"/>
      <c r="P25" s="57"/>
      <c r="Q25" s="50"/>
      <c r="R25" s="53"/>
      <c r="S25" s="53"/>
      <c r="T25" s="5"/>
      <c r="U25" s="21"/>
      <c r="Y25" s="69"/>
      <c r="Z25" s="228"/>
      <c r="AA25" s="228"/>
      <c r="AB25" s="70"/>
      <c r="AC25" s="71"/>
      <c r="AD25" s="27"/>
      <c r="AE25" s="27"/>
      <c r="AF25" s="47"/>
      <c r="AG25" s="47"/>
      <c r="AH25" s="15"/>
      <c r="AJ25"/>
      <c r="AK25"/>
      <c r="AL25"/>
      <c r="AM25"/>
    </row>
    <row r="26" spans="1:39" ht="18" customHeight="1" thickTop="1" thickBot="1">
      <c r="B26" s="13"/>
      <c r="C26" s="13"/>
      <c r="D26" s="15">
        <v>1258228694</v>
      </c>
      <c r="E26" s="13" t="s">
        <v>202</v>
      </c>
      <c r="F26" s="13" t="s">
        <v>262</v>
      </c>
      <c r="G26" s="15">
        <v>1258228694</v>
      </c>
      <c r="H26" s="16"/>
      <c r="I26" s="47"/>
      <c r="J26" s="47"/>
      <c r="K26" s="51"/>
      <c r="L26" s="15"/>
      <c r="M26" s="15"/>
      <c r="N26" s="77"/>
      <c r="O26" s="64"/>
      <c r="P26" s="57"/>
      <c r="Q26" s="50"/>
      <c r="R26" s="53"/>
      <c r="S26" s="53"/>
      <c r="T26" s="5"/>
      <c r="U26" s="21"/>
      <c r="Y26" s="69"/>
      <c r="Z26" s="228"/>
      <c r="AA26" s="228"/>
      <c r="AB26" s="70"/>
      <c r="AC26" s="71"/>
      <c r="AD26" s="27"/>
      <c r="AE26" s="27"/>
      <c r="AF26" s="47"/>
      <c r="AG26" s="47"/>
      <c r="AH26" s="15"/>
      <c r="AJ26"/>
      <c r="AK26"/>
      <c r="AL26"/>
      <c r="AM26"/>
    </row>
    <row r="27" spans="1:39" ht="18" customHeight="1" thickTop="1" thickBot="1">
      <c r="B27" s="13"/>
      <c r="C27" s="13"/>
      <c r="D27" s="15">
        <v>1016917438</v>
      </c>
      <c r="E27" s="13" t="s">
        <v>380</v>
      </c>
      <c r="F27" s="13" t="s">
        <v>382</v>
      </c>
      <c r="G27" s="15">
        <v>1016917438</v>
      </c>
      <c r="H27" s="16"/>
      <c r="I27" s="47"/>
      <c r="J27" s="47"/>
      <c r="K27" s="51"/>
      <c r="L27" s="15"/>
      <c r="M27" s="15"/>
      <c r="N27" s="77"/>
      <c r="O27" s="64"/>
      <c r="P27" s="57"/>
      <c r="Q27" s="50"/>
      <c r="R27" s="53"/>
      <c r="S27" s="53"/>
      <c r="T27" s="5"/>
      <c r="U27" s="21"/>
      <c r="Y27" s="69"/>
      <c r="Z27" s="228"/>
      <c r="AA27" s="228"/>
      <c r="AB27" s="70"/>
      <c r="AC27" s="71"/>
      <c r="AD27" s="27"/>
      <c r="AE27" s="27"/>
      <c r="AF27" s="47"/>
      <c r="AG27" s="47"/>
      <c r="AH27" s="15"/>
      <c r="AJ27"/>
      <c r="AK27"/>
      <c r="AL27"/>
      <c r="AM27"/>
    </row>
    <row r="28" spans="1:39" ht="18" customHeight="1" thickTop="1" thickBot="1">
      <c r="B28" s="13"/>
      <c r="C28" s="13"/>
      <c r="D28" s="15">
        <v>1287821286</v>
      </c>
      <c r="E28" s="13" t="s">
        <v>383</v>
      </c>
      <c r="F28" s="13" t="s">
        <v>265</v>
      </c>
      <c r="G28" s="15">
        <v>1287821286</v>
      </c>
      <c r="H28" s="16"/>
      <c r="I28" s="47"/>
      <c r="J28" s="47"/>
      <c r="K28" s="51"/>
      <c r="L28" s="15"/>
      <c r="M28" s="15"/>
      <c r="N28" s="77"/>
      <c r="O28" s="64"/>
      <c r="P28" s="57"/>
      <c r="Q28" s="50"/>
      <c r="R28" s="53"/>
      <c r="S28" s="53"/>
      <c r="T28" s="5"/>
      <c r="U28" s="21"/>
      <c r="Y28" s="69"/>
      <c r="Z28" s="228"/>
      <c r="AA28" s="228"/>
      <c r="AB28" s="70"/>
      <c r="AC28" s="71"/>
      <c r="AD28" s="27"/>
      <c r="AE28" s="27"/>
      <c r="AF28" s="47"/>
      <c r="AG28" s="47"/>
      <c r="AH28" s="15"/>
      <c r="AJ28"/>
      <c r="AK28"/>
      <c r="AL28"/>
      <c r="AM28"/>
    </row>
    <row r="29" spans="1:39" ht="18" customHeight="1" thickTop="1" thickBot="1">
      <c r="B29" s="13"/>
      <c r="C29" s="13"/>
      <c r="D29" s="15">
        <v>1881917537</v>
      </c>
      <c r="E29" s="13" t="s">
        <v>206</v>
      </c>
      <c r="F29" s="13" t="s">
        <v>264</v>
      </c>
      <c r="G29" s="15">
        <v>1881917537</v>
      </c>
      <c r="H29" s="16"/>
      <c r="I29" s="47"/>
      <c r="J29" s="47"/>
      <c r="K29" s="51"/>
      <c r="L29" s="15"/>
      <c r="M29" s="15"/>
      <c r="N29" s="77"/>
      <c r="O29" s="64"/>
      <c r="P29" s="57"/>
      <c r="Q29" s="50"/>
      <c r="R29" s="14"/>
      <c r="S29" s="14"/>
      <c r="T29" s="5"/>
      <c r="U29" s="21"/>
      <c r="Y29" s="69"/>
      <c r="Z29" s="228"/>
      <c r="AA29" s="228"/>
      <c r="AB29" s="70"/>
      <c r="AC29" s="71"/>
      <c r="AD29" s="27"/>
      <c r="AE29" s="27"/>
      <c r="AF29" s="47"/>
      <c r="AG29" s="47"/>
      <c r="AH29" s="15"/>
      <c r="AJ29"/>
      <c r="AK29"/>
      <c r="AL29"/>
      <c r="AM29"/>
    </row>
    <row r="30" spans="1:39" ht="18" customHeight="1" thickTop="1" thickBot="1">
      <c r="D30" s="15">
        <v>1421207239</v>
      </c>
      <c r="E30" s="13" t="s">
        <v>384</v>
      </c>
      <c r="F30" s="13" t="s">
        <v>385</v>
      </c>
      <c r="G30" s="15">
        <v>1421207239</v>
      </c>
      <c r="H30" s="16"/>
      <c r="I30" s="47"/>
      <c r="J30" s="47"/>
      <c r="K30" s="51"/>
      <c r="L30" s="15"/>
      <c r="M30" s="15"/>
      <c r="N30" s="77"/>
      <c r="O30" s="64"/>
      <c r="P30" s="57"/>
      <c r="Q30" s="50"/>
      <c r="R30" s="14"/>
      <c r="S30" s="14"/>
      <c r="T30" s="5"/>
      <c r="U30" s="21"/>
      <c r="Y30" s="69"/>
      <c r="Z30" s="228"/>
      <c r="AA30" s="228"/>
      <c r="AB30" s="70"/>
      <c r="AC30" s="71"/>
      <c r="AD30" s="27"/>
      <c r="AE30" s="27"/>
      <c r="AF30" s="47"/>
      <c r="AG30" s="47"/>
      <c r="AH30" s="15"/>
      <c r="AJ30"/>
      <c r="AK30"/>
      <c r="AL30"/>
      <c r="AM30"/>
    </row>
    <row r="31" spans="1:39" ht="19.5" customHeight="1" thickTop="1" thickBot="1">
      <c r="D31" s="15">
        <v>1683089915</v>
      </c>
      <c r="E31" s="13" t="s">
        <v>386</v>
      </c>
      <c r="F31" s="13" t="s">
        <v>387</v>
      </c>
      <c r="G31" s="15">
        <v>1683089915</v>
      </c>
      <c r="H31" s="16"/>
      <c r="I31" s="47"/>
      <c r="J31" s="47"/>
      <c r="K31" s="51"/>
      <c r="L31" s="15"/>
      <c r="M31" s="15"/>
      <c r="N31" s="77"/>
      <c r="O31" s="64"/>
      <c r="P31" s="57"/>
      <c r="Q31" s="50"/>
      <c r="R31" s="14"/>
      <c r="S31" s="14"/>
      <c r="T31" s="5"/>
      <c r="U31" s="21"/>
      <c r="Y31" s="69"/>
      <c r="Z31" s="228"/>
      <c r="AA31" s="228"/>
      <c r="AB31" s="70"/>
      <c r="AC31" s="71"/>
      <c r="AD31" s="27"/>
      <c r="AE31" s="27"/>
      <c r="AF31" s="47"/>
      <c r="AG31" s="47"/>
      <c r="AH31" s="15"/>
      <c r="AJ31"/>
      <c r="AK31"/>
      <c r="AL31"/>
      <c r="AM31"/>
    </row>
    <row r="32" spans="1:39" ht="18" customHeight="1" thickTop="1" thickBot="1">
      <c r="D32" s="15">
        <v>1886277668</v>
      </c>
      <c r="E32" s="13" t="s">
        <v>388</v>
      </c>
      <c r="F32" s="13" t="s">
        <v>389</v>
      </c>
      <c r="G32" s="15">
        <v>1886277668</v>
      </c>
      <c r="H32" s="16"/>
      <c r="I32" s="47"/>
      <c r="J32" s="47"/>
      <c r="K32" s="51"/>
      <c r="L32" s="15"/>
      <c r="M32" s="15"/>
      <c r="N32" s="77"/>
      <c r="O32" s="64"/>
      <c r="P32" s="57"/>
      <c r="Q32" s="50"/>
      <c r="R32" s="14"/>
      <c r="S32" s="14"/>
      <c r="T32" s="5"/>
      <c r="U32" s="21"/>
      <c r="Y32" s="69"/>
      <c r="Z32" s="228"/>
      <c r="AA32" s="228"/>
      <c r="AB32" s="70"/>
      <c r="AC32" s="71"/>
      <c r="AD32" s="27"/>
      <c r="AE32" s="27"/>
      <c r="AF32" s="47"/>
      <c r="AG32" s="47"/>
      <c r="AH32" s="15"/>
      <c r="AJ32"/>
      <c r="AK32"/>
      <c r="AL32"/>
      <c r="AM32"/>
    </row>
    <row r="33" spans="1:39" s="13" customFormat="1" ht="23.25" customHeight="1" thickTop="1" thickBot="1">
      <c r="A33" s="115"/>
      <c r="B33" s="13" t="s">
        <v>191</v>
      </c>
      <c r="D33" s="15">
        <v>2035334597</v>
      </c>
      <c r="E33" s="13" t="s">
        <v>204</v>
      </c>
      <c r="F33" s="13" t="s">
        <v>390</v>
      </c>
      <c r="G33" s="15">
        <v>2035334597</v>
      </c>
      <c r="H33" s="16"/>
      <c r="I33" s="47"/>
      <c r="J33" s="47"/>
      <c r="K33" s="51"/>
      <c r="L33" s="15"/>
      <c r="M33" s="15"/>
      <c r="N33" s="78"/>
      <c r="O33" s="64"/>
      <c r="P33" s="57"/>
      <c r="Q33" s="214"/>
      <c r="R33" s="215"/>
      <c r="S33" s="216"/>
      <c r="T33" s="217"/>
      <c r="U33" s="218"/>
      <c r="V33" s="226"/>
      <c r="W33" s="226"/>
      <c r="X33" s="226"/>
      <c r="Y33" s="69"/>
      <c r="Z33" s="228"/>
      <c r="AA33" s="228"/>
      <c r="AB33" s="70"/>
      <c r="AC33" s="71"/>
      <c r="AD33" s="27"/>
      <c r="AE33" s="27"/>
      <c r="AF33" s="47"/>
      <c r="AG33" s="47"/>
      <c r="AH33" s="58"/>
      <c r="AI33" s="15"/>
    </row>
    <row r="34" spans="1:39" s="13" customFormat="1" ht="23.25" customHeight="1" thickTop="1" thickBot="1">
      <c r="A34" s="115"/>
      <c r="D34" s="15">
        <v>1839268518</v>
      </c>
      <c r="E34" s="13" t="s">
        <v>391</v>
      </c>
      <c r="F34" s="13" t="s">
        <v>392</v>
      </c>
      <c r="G34" s="15">
        <v>1839268518</v>
      </c>
      <c r="H34" s="16"/>
      <c r="I34" s="47"/>
      <c r="J34" s="47"/>
      <c r="K34" s="51"/>
      <c r="L34" s="15"/>
      <c r="M34" s="15"/>
      <c r="N34" s="78"/>
      <c r="O34" s="64"/>
      <c r="P34" s="57"/>
      <c r="Q34" s="214"/>
      <c r="R34" s="215"/>
      <c r="S34" s="216"/>
      <c r="T34" s="217"/>
      <c r="U34" s="218"/>
      <c r="V34" s="226"/>
      <c r="W34" s="226"/>
      <c r="X34" s="226"/>
      <c r="Y34" s="69"/>
      <c r="Z34" s="228"/>
      <c r="AA34" s="228"/>
      <c r="AB34" s="70"/>
      <c r="AC34" s="71"/>
      <c r="AD34" s="27"/>
      <c r="AE34" s="27"/>
      <c r="AF34" s="47"/>
      <c r="AG34" s="47"/>
      <c r="AH34" s="58"/>
      <c r="AI34" s="15"/>
    </row>
    <row r="35" spans="1:39" s="13" customFormat="1" ht="23.25" customHeight="1" thickTop="1" thickBot="1">
      <c r="A35" s="115"/>
      <c r="D35" s="15">
        <v>1201249206</v>
      </c>
      <c r="E35" s="13" t="s">
        <v>393</v>
      </c>
      <c r="F35" s="13" t="s">
        <v>394</v>
      </c>
      <c r="G35" s="15">
        <v>1201249206</v>
      </c>
      <c r="H35" s="16"/>
      <c r="I35" s="47"/>
      <c r="J35" s="47"/>
      <c r="K35" s="51"/>
      <c r="L35" s="15"/>
      <c r="M35" s="15"/>
      <c r="N35" s="78"/>
      <c r="O35" s="64"/>
      <c r="P35" s="57"/>
      <c r="Q35" s="214"/>
      <c r="R35" s="215"/>
      <c r="S35" s="216"/>
      <c r="T35" s="217"/>
      <c r="U35" s="218"/>
      <c r="V35" s="226"/>
      <c r="W35" s="226"/>
      <c r="X35" s="226"/>
      <c r="Y35" s="69"/>
      <c r="Z35" s="228"/>
      <c r="AA35" s="228"/>
      <c r="AB35" s="70"/>
      <c r="AC35" s="71"/>
      <c r="AD35" s="27"/>
      <c r="AE35" s="27"/>
      <c r="AF35" s="47"/>
      <c r="AG35" s="47"/>
      <c r="AH35" s="58"/>
      <c r="AI35" s="15"/>
    </row>
    <row r="36" spans="1:39" s="13" customFormat="1" ht="20.100000000000001" customHeight="1" thickTop="1" thickBot="1">
      <c r="A36" s="116"/>
      <c r="D36" s="15">
        <v>36073217</v>
      </c>
      <c r="E36" s="13" t="s">
        <v>400</v>
      </c>
      <c r="F36" s="13" t="s">
        <v>401</v>
      </c>
      <c r="G36" s="15">
        <v>36073217</v>
      </c>
      <c r="H36" s="16"/>
      <c r="I36" s="47"/>
      <c r="J36" s="47"/>
      <c r="K36" s="51"/>
      <c r="L36" s="15"/>
      <c r="M36" s="15"/>
      <c r="N36" s="77"/>
      <c r="O36" s="64"/>
      <c r="P36" s="52"/>
      <c r="Q36" s="51"/>
      <c r="R36" s="53"/>
      <c r="S36" s="53"/>
      <c r="T36" s="53"/>
      <c r="U36" s="52"/>
      <c r="V36" s="15"/>
      <c r="W36" s="15"/>
      <c r="X36" s="15"/>
      <c r="Y36" s="69"/>
      <c r="Z36" s="228"/>
      <c r="AA36" s="228"/>
      <c r="AB36" s="70"/>
      <c r="AC36" s="71"/>
      <c r="AD36" s="47"/>
      <c r="AE36" s="47"/>
      <c r="AF36" s="47"/>
      <c r="AG36" s="47"/>
      <c r="AH36" s="58"/>
      <c r="AI36" s="15"/>
    </row>
    <row r="37" spans="1:39" s="13" customFormat="1" ht="23.25" customHeight="1" thickTop="1" thickBot="1">
      <c r="A37" s="115"/>
      <c r="D37" s="15">
        <v>1737548149</v>
      </c>
      <c r="E37" s="13" t="s">
        <v>398</v>
      </c>
      <c r="F37" s="13" t="s">
        <v>399</v>
      </c>
      <c r="G37" s="15">
        <v>1737548149</v>
      </c>
      <c r="H37" s="16"/>
      <c r="I37" s="47"/>
      <c r="J37" s="47"/>
      <c r="K37" s="51"/>
      <c r="L37" s="15"/>
      <c r="M37" s="15"/>
      <c r="N37" s="78"/>
      <c r="O37" s="64"/>
      <c r="P37" s="57"/>
      <c r="Q37" s="29" t="s">
        <v>433</v>
      </c>
      <c r="R37" s="215"/>
      <c r="S37" s="216"/>
      <c r="T37" s="217"/>
      <c r="U37" s="218"/>
      <c r="V37" s="226"/>
      <c r="W37" s="226"/>
      <c r="X37" s="226"/>
      <c r="Y37" s="69"/>
      <c r="Z37" s="228"/>
      <c r="AA37" s="228"/>
      <c r="AB37" s="70"/>
      <c r="AC37" s="71"/>
      <c r="AD37" s="27"/>
      <c r="AE37" s="27"/>
      <c r="AF37" s="47"/>
      <c r="AG37" s="47"/>
      <c r="AH37" s="58"/>
      <c r="AI37" s="15"/>
    </row>
    <row r="38" spans="1:39" ht="19.5" customHeight="1" thickTop="1" thickBot="1">
      <c r="D38" s="15">
        <v>2021830539</v>
      </c>
      <c r="E38" s="13" t="s">
        <v>396</v>
      </c>
      <c r="F38" s="13" t="s">
        <v>397</v>
      </c>
      <c r="G38" s="15">
        <v>2021830539</v>
      </c>
      <c r="H38" s="16"/>
      <c r="I38" s="47"/>
      <c r="J38" s="47"/>
      <c r="K38" s="51"/>
      <c r="L38" s="15"/>
      <c r="M38" s="15"/>
      <c r="N38" s="77"/>
      <c r="O38" s="64"/>
      <c r="P38" s="57"/>
      <c r="Q38" s="50"/>
      <c r="R38" s="14"/>
      <c r="S38" s="14"/>
      <c r="T38" s="5"/>
      <c r="U38" s="21"/>
      <c r="Y38" s="69"/>
      <c r="Z38" s="228"/>
      <c r="AA38" s="228"/>
      <c r="AB38" s="70"/>
      <c r="AC38" s="71"/>
      <c r="AD38" s="27"/>
      <c r="AE38" s="27"/>
      <c r="AF38" s="47"/>
      <c r="AG38" s="47"/>
      <c r="AH38" s="15"/>
      <c r="AJ38"/>
      <c r="AK38"/>
      <c r="AL38"/>
      <c r="AM38"/>
    </row>
    <row r="39" spans="1:39" s="13" customFormat="1" ht="20.100000000000001" customHeight="1" thickTop="1">
      <c r="D39" s="15">
        <v>1642603227</v>
      </c>
      <c r="E39" s="13" t="s">
        <v>210</v>
      </c>
      <c r="F39" s="13" t="s">
        <v>395</v>
      </c>
      <c r="G39" s="15">
        <v>1642603227</v>
      </c>
      <c r="H39" s="16"/>
      <c r="I39" s="47"/>
      <c r="J39" s="47"/>
      <c r="K39" s="51"/>
      <c r="L39" s="15"/>
      <c r="M39" s="15"/>
      <c r="N39" s="83"/>
      <c r="O39" s="64"/>
      <c r="P39" s="57"/>
      <c r="Q39" s="29"/>
      <c r="R39" s="14"/>
      <c r="S39" s="14"/>
      <c r="T39" s="14"/>
      <c r="U39" s="57"/>
      <c r="V39" s="15"/>
      <c r="W39" s="15"/>
      <c r="X39" s="15"/>
      <c r="Y39" s="69"/>
      <c r="Z39" s="228"/>
      <c r="AA39" s="228"/>
      <c r="AB39" s="70"/>
      <c r="AC39" s="71"/>
      <c r="AD39" s="27"/>
      <c r="AE39" s="27"/>
      <c r="AF39" s="47"/>
      <c r="AG39" s="47"/>
      <c r="AH39" s="15"/>
      <c r="AI39" s="15"/>
    </row>
    <row r="40" spans="1:39" s="102" customFormat="1" ht="20.100000000000001" customHeight="1">
      <c r="D40" s="112"/>
      <c r="E40" s="103">
        <f>SUBTOTAL(109,E8:E22)</f>
        <v>0</v>
      </c>
      <c r="F40" s="112"/>
      <c r="G40" s="112"/>
      <c r="H40" s="104">
        <f>SUBTOTAL(109,H8:H39)</f>
        <v>0</v>
      </c>
      <c r="I40" s="108"/>
      <c r="J40" s="106">
        <f>SUBTOTAL(109,J8:J39)</f>
        <v>0</v>
      </c>
      <c r="K40" s="103"/>
      <c r="L40" s="113"/>
      <c r="M40" s="113"/>
      <c r="N40" s="107"/>
      <c r="O40" s="108">
        <f>SUBTOTAL(109,O8:O39)</f>
        <v>0</v>
      </c>
      <c r="P40" s="105">
        <f>SUBTOTAL(109,P8:P39)</f>
        <v>0</v>
      </c>
      <c r="Q40" s="104"/>
      <c r="R40" s="106"/>
      <c r="S40" s="106"/>
      <c r="T40" s="106"/>
      <c r="U40" s="105"/>
      <c r="V40" s="113"/>
      <c r="W40" s="113"/>
      <c r="X40" s="113"/>
      <c r="Y40" s="109"/>
      <c r="Z40" s="229"/>
      <c r="AA40" s="229"/>
      <c r="AB40" s="110"/>
      <c r="AC40" s="111"/>
      <c r="AD40" s="112"/>
      <c r="AE40" s="112"/>
      <c r="AF40" s="112"/>
      <c r="AG40" s="112"/>
      <c r="AH40" s="113"/>
      <c r="AI40" s="113"/>
    </row>
    <row r="41" spans="1:39" s="15" customFormat="1" ht="20.100000000000001" customHeight="1" thickBot="1">
      <c r="D41" s="47"/>
      <c r="E41" s="60"/>
      <c r="F41" s="47"/>
      <c r="G41" s="47"/>
      <c r="H41" s="51"/>
      <c r="I41" s="63"/>
      <c r="J41" s="53"/>
      <c r="K41" s="60"/>
      <c r="N41" s="78"/>
      <c r="O41" s="63"/>
      <c r="P41" s="52"/>
      <c r="Q41" s="51"/>
      <c r="R41" s="53"/>
      <c r="S41" s="53"/>
      <c r="T41" s="53"/>
      <c r="U41" s="52"/>
      <c r="Y41" s="72"/>
      <c r="Z41" s="230"/>
      <c r="AA41" s="230"/>
      <c r="AB41" s="73"/>
      <c r="AC41" s="74"/>
      <c r="AD41" s="47"/>
      <c r="AE41" s="47"/>
      <c r="AF41" s="47"/>
      <c r="AG41" s="47"/>
    </row>
    <row r="42" spans="1:39" s="13" customFormat="1" ht="20.100000000000001" customHeight="1" thickTop="1" thickBot="1">
      <c r="C42" s="114">
        <v>251107</v>
      </c>
      <c r="D42" s="75"/>
      <c r="E42" s="59" t="s">
        <v>198</v>
      </c>
      <c r="F42" s="75"/>
      <c r="G42" s="75"/>
      <c r="H42" s="17" t="s">
        <v>75</v>
      </c>
      <c r="I42" s="62"/>
      <c r="J42" s="18" t="s">
        <v>72</v>
      </c>
      <c r="K42" s="59" t="s">
        <v>74</v>
      </c>
      <c r="L42" s="222"/>
      <c r="M42" s="222"/>
      <c r="N42" s="76" t="s">
        <v>190</v>
      </c>
      <c r="O42" s="62" t="s">
        <v>156</v>
      </c>
      <c r="P42" s="19" t="s">
        <v>121</v>
      </c>
      <c r="Q42" s="54" t="s">
        <v>54</v>
      </c>
      <c r="R42" s="53"/>
      <c r="S42" s="53"/>
      <c r="T42" s="53"/>
      <c r="U42" s="52"/>
      <c r="V42" s="15"/>
      <c r="W42" s="15"/>
      <c r="X42" s="15"/>
      <c r="Y42" s="69"/>
      <c r="Z42" s="228"/>
      <c r="AA42" s="228"/>
      <c r="AB42" s="70"/>
      <c r="AC42" s="71"/>
      <c r="AD42" s="75"/>
      <c r="AE42" s="75"/>
      <c r="AF42" s="47"/>
      <c r="AG42" s="47"/>
      <c r="AH42" s="15"/>
      <c r="AI42" s="15"/>
    </row>
    <row r="43" spans="1:39" s="13" customFormat="1" ht="20.100000000000001" customHeight="1" thickTop="1" thickBot="1">
      <c r="C43" s="232"/>
      <c r="D43" s="47"/>
      <c r="E43" s="16" t="s">
        <v>432</v>
      </c>
      <c r="F43" s="27"/>
      <c r="G43" s="27"/>
      <c r="H43" s="64"/>
      <c r="I43" s="64"/>
      <c r="J43" s="14"/>
      <c r="K43" s="16"/>
      <c r="L43" s="15"/>
      <c r="M43" s="15"/>
      <c r="N43" s="78"/>
      <c r="O43" s="64"/>
      <c r="P43" s="57"/>
      <c r="Q43" s="214"/>
      <c r="R43" s="14"/>
      <c r="S43" s="14"/>
      <c r="T43" s="64"/>
      <c r="U43" s="57"/>
      <c r="V43" s="15"/>
      <c r="W43" s="15"/>
      <c r="X43" s="15"/>
      <c r="Y43" s="69"/>
      <c r="Z43" s="228"/>
      <c r="AA43" s="228"/>
      <c r="AB43" s="70"/>
      <c r="AC43" s="71"/>
      <c r="AD43" s="233"/>
      <c r="AE43" s="233"/>
      <c r="AF43" s="47"/>
      <c r="AG43" s="47"/>
      <c r="AH43" s="15"/>
      <c r="AI43" s="15"/>
    </row>
    <row r="44" spans="1:39" s="13" customFormat="1" ht="20.100000000000001" customHeight="1" thickTop="1" thickBot="1">
      <c r="C44" s="232"/>
      <c r="D44" s="47"/>
      <c r="E44" s="16" t="s">
        <v>431</v>
      </c>
      <c r="F44" s="27"/>
      <c r="G44" s="27"/>
      <c r="H44" s="64"/>
      <c r="I44" s="64"/>
      <c r="J44" s="14"/>
      <c r="K44" s="16"/>
      <c r="L44" s="15"/>
      <c r="M44" s="15"/>
      <c r="N44" s="78"/>
      <c r="O44" s="64"/>
      <c r="P44" s="57"/>
      <c r="Q44" s="214"/>
      <c r="R44" s="14"/>
      <c r="S44" s="14"/>
      <c r="T44" s="64"/>
      <c r="U44" s="57"/>
      <c r="V44" s="15"/>
      <c r="W44" s="15"/>
      <c r="X44" s="15"/>
      <c r="Y44" s="69"/>
      <c r="Z44" s="228"/>
      <c r="AA44" s="228"/>
      <c r="AB44" s="70"/>
      <c r="AC44" s="71"/>
      <c r="AD44" s="233"/>
      <c r="AE44" s="233"/>
      <c r="AF44" s="47"/>
      <c r="AG44" s="47"/>
      <c r="AH44" s="15"/>
      <c r="AI44" s="15"/>
    </row>
    <row r="45" spans="1:39" s="13" customFormat="1" ht="20.100000000000001" customHeight="1" thickTop="1">
      <c r="C45" s="232"/>
      <c r="D45" s="15">
        <v>1642603227</v>
      </c>
      <c r="E45" s="13" t="s">
        <v>210</v>
      </c>
      <c r="F45" s="13" t="s">
        <v>395</v>
      </c>
      <c r="G45" s="15">
        <v>1642603227</v>
      </c>
      <c r="H45" s="16"/>
      <c r="I45" s="47"/>
      <c r="J45" s="47"/>
      <c r="K45" s="51"/>
      <c r="L45" s="15"/>
      <c r="M45" s="15"/>
      <c r="N45" s="83"/>
      <c r="O45" s="64"/>
      <c r="P45" s="57"/>
      <c r="Q45" s="29"/>
      <c r="R45" s="14"/>
      <c r="S45" s="14"/>
      <c r="T45" s="64"/>
      <c r="U45" s="57"/>
      <c r="V45" s="15"/>
      <c r="W45" s="15"/>
      <c r="X45" s="15"/>
      <c r="Y45" s="69"/>
      <c r="Z45" s="228"/>
      <c r="AA45" s="228"/>
      <c r="AB45" s="70"/>
      <c r="AC45" s="71"/>
      <c r="AD45" s="233"/>
      <c r="AE45" s="233"/>
      <c r="AF45" s="47"/>
      <c r="AG45" s="47"/>
      <c r="AH45" s="15"/>
      <c r="AI45" s="15"/>
    </row>
    <row r="46" spans="1:39" s="13" customFormat="1" ht="20.100000000000001" customHeight="1" thickBot="1">
      <c r="C46" s="232"/>
      <c r="D46" s="47"/>
      <c r="E46" s="16"/>
      <c r="F46" s="27"/>
      <c r="G46" s="27"/>
      <c r="H46" s="64"/>
      <c r="I46" s="64"/>
      <c r="J46" s="14"/>
      <c r="K46" s="16"/>
      <c r="L46" s="15"/>
      <c r="M46" s="15"/>
      <c r="N46" s="78"/>
      <c r="O46" s="64"/>
      <c r="P46" s="57"/>
      <c r="Q46" s="214"/>
      <c r="R46" s="14"/>
      <c r="S46" s="14"/>
      <c r="T46" s="64"/>
      <c r="U46" s="57"/>
      <c r="V46" s="15"/>
      <c r="W46" s="15"/>
      <c r="X46" s="15"/>
      <c r="Y46" s="69"/>
      <c r="Z46" s="228"/>
      <c r="AA46" s="228"/>
      <c r="AB46" s="70"/>
      <c r="AC46" s="71"/>
      <c r="AD46" s="233"/>
      <c r="AE46" s="233"/>
      <c r="AF46" s="47"/>
      <c r="AG46" s="47"/>
      <c r="AH46" s="15"/>
      <c r="AI46" s="15"/>
    </row>
    <row r="47" spans="1:39" s="13" customFormat="1" ht="20.100000000000001" customHeight="1" thickTop="1" thickBot="1">
      <c r="B47" s="13" t="s">
        <v>46</v>
      </c>
      <c r="D47" s="47"/>
      <c r="E47" s="16" t="s">
        <v>28</v>
      </c>
      <c r="F47" s="47"/>
      <c r="G47" s="47"/>
      <c r="H47" s="51"/>
      <c r="I47" s="63"/>
      <c r="J47" s="53"/>
      <c r="K47" s="60"/>
      <c r="L47" s="15"/>
      <c r="M47" s="15"/>
      <c r="N47" s="77"/>
      <c r="O47" s="52">
        <v>100</v>
      </c>
      <c r="P47" s="52"/>
      <c r="Q47" s="29"/>
      <c r="R47" s="53"/>
      <c r="S47" s="53"/>
      <c r="T47" s="53"/>
      <c r="U47" s="52"/>
      <c r="V47" s="15"/>
      <c r="W47" s="15"/>
      <c r="X47" s="15"/>
      <c r="Y47" s="69"/>
      <c r="Z47" s="228"/>
      <c r="AA47" s="228"/>
      <c r="AB47" s="70"/>
      <c r="AC47" s="71"/>
      <c r="AD47" s="47"/>
      <c r="AE47" s="47"/>
      <c r="AF47" s="47"/>
      <c r="AG47" s="47"/>
      <c r="AH47" s="15"/>
      <c r="AI47" s="15"/>
    </row>
    <row r="48" spans="1:39" s="13" customFormat="1" ht="20.100000000000001" customHeight="1" thickTop="1" thickBot="1">
      <c r="D48" s="27"/>
      <c r="E48" s="16" t="s">
        <v>27</v>
      </c>
      <c r="F48" s="27"/>
      <c r="G48" s="27"/>
      <c r="H48" s="29"/>
      <c r="I48" s="64"/>
      <c r="J48" s="14"/>
      <c r="K48" s="16"/>
      <c r="L48" s="15"/>
      <c r="M48" s="15"/>
      <c r="N48" s="77"/>
      <c r="O48" s="57">
        <v>100</v>
      </c>
      <c r="P48" s="57"/>
      <c r="Q48" s="29"/>
      <c r="R48" s="14"/>
      <c r="S48" s="14"/>
      <c r="T48" s="14"/>
      <c r="U48" s="57"/>
      <c r="V48" s="15"/>
      <c r="W48" s="15"/>
      <c r="X48" s="15"/>
      <c r="Y48" s="69"/>
      <c r="Z48" s="228"/>
      <c r="AA48" s="228"/>
      <c r="AB48" s="70"/>
      <c r="AC48" s="71"/>
      <c r="AD48" s="27"/>
      <c r="AE48" s="27"/>
      <c r="AF48" s="47"/>
      <c r="AG48" s="47"/>
      <c r="AH48" s="15"/>
      <c r="AI48" s="15"/>
    </row>
    <row r="49" spans="2:39" s="13" customFormat="1" ht="20.100000000000001" customHeight="1" thickTop="1" thickBot="1">
      <c r="D49" s="47"/>
      <c r="E49" s="16" t="s">
        <v>29</v>
      </c>
      <c r="F49" s="47"/>
      <c r="G49" s="47"/>
      <c r="H49" s="51"/>
      <c r="I49" s="63"/>
      <c r="J49" s="53"/>
      <c r="K49" s="60"/>
      <c r="L49" s="15"/>
      <c r="M49" s="15"/>
      <c r="N49" s="77"/>
      <c r="O49" s="52">
        <v>100</v>
      </c>
      <c r="P49" s="52"/>
      <c r="Q49" s="29" t="s">
        <v>433</v>
      </c>
      <c r="R49" s="53"/>
      <c r="S49" s="53"/>
      <c r="T49" s="53"/>
      <c r="U49" s="52"/>
      <c r="V49" s="15"/>
      <c r="W49" s="15"/>
      <c r="X49" s="15"/>
      <c r="Y49" s="69"/>
      <c r="Z49" s="228"/>
      <c r="AA49" s="228"/>
      <c r="AB49" s="70"/>
      <c r="AC49" s="71"/>
      <c r="AD49" s="47"/>
      <c r="AE49" s="47"/>
      <c r="AF49" s="47"/>
      <c r="AG49" s="47"/>
      <c r="AH49" s="15"/>
      <c r="AI49" s="15"/>
    </row>
    <row r="50" spans="2:39" s="13" customFormat="1" ht="20.100000000000001" customHeight="1" thickTop="1" thickBot="1">
      <c r="D50" s="47"/>
      <c r="E50" s="16" t="s">
        <v>30</v>
      </c>
      <c r="F50" s="47"/>
      <c r="G50" s="47"/>
      <c r="H50" s="51"/>
      <c r="I50" s="63"/>
      <c r="J50" s="53"/>
      <c r="K50" s="60"/>
      <c r="L50" s="15"/>
      <c r="M50" s="15"/>
      <c r="N50" s="77"/>
      <c r="O50" s="65"/>
      <c r="P50" s="52"/>
      <c r="Q50" s="29"/>
      <c r="R50" s="53"/>
      <c r="S50" s="53"/>
      <c r="T50" s="53"/>
      <c r="U50" s="52"/>
      <c r="V50" s="15"/>
      <c r="W50" s="15"/>
      <c r="X50" s="15"/>
      <c r="Y50" s="69"/>
      <c r="Z50" s="228"/>
      <c r="AA50" s="228"/>
      <c r="AB50" s="70"/>
      <c r="AC50" s="71"/>
      <c r="AD50" s="47"/>
      <c r="AE50" s="47"/>
      <c r="AF50" s="47"/>
      <c r="AG50" s="47"/>
      <c r="AH50" s="15"/>
      <c r="AI50" s="15"/>
    </row>
    <row r="51" spans="2:39" s="13" customFormat="1" ht="20.100000000000001" customHeight="1" thickTop="1" thickBot="1">
      <c r="D51" s="47"/>
      <c r="E51" s="16" t="s">
        <v>31</v>
      </c>
      <c r="F51" s="47"/>
      <c r="G51" s="47"/>
      <c r="H51" s="51"/>
      <c r="I51" s="63"/>
      <c r="J51" s="53"/>
      <c r="K51" s="60"/>
      <c r="L51" s="15"/>
      <c r="M51" s="15"/>
      <c r="N51" s="77"/>
      <c r="O51" s="64"/>
      <c r="P51" s="52">
        <v>50</v>
      </c>
      <c r="Q51" s="51"/>
      <c r="R51" s="53"/>
      <c r="S51" s="53"/>
      <c r="T51" s="53"/>
      <c r="U51" s="52"/>
      <c r="V51" s="15"/>
      <c r="W51" s="15"/>
      <c r="X51" s="15"/>
      <c r="Y51" s="69"/>
      <c r="Z51" s="228"/>
      <c r="AA51" s="228"/>
      <c r="AB51" s="70"/>
      <c r="AC51" s="71"/>
      <c r="AD51" s="47"/>
      <c r="AE51" s="47"/>
      <c r="AF51" s="47"/>
      <c r="AG51" s="47"/>
      <c r="AH51" s="15"/>
      <c r="AI51" s="15"/>
    </row>
    <row r="52" spans="2:39" s="13" customFormat="1" ht="20.100000000000001" customHeight="1" thickTop="1" thickBot="1">
      <c r="D52" s="47"/>
      <c r="E52" s="16" t="s">
        <v>173</v>
      </c>
      <c r="F52" s="47"/>
      <c r="G52" s="47"/>
      <c r="H52" s="51"/>
      <c r="I52" s="63"/>
      <c r="J52" s="53"/>
      <c r="K52" s="60"/>
      <c r="L52" s="15"/>
      <c r="M52" s="15"/>
      <c r="N52" s="77"/>
      <c r="O52" s="65"/>
      <c r="P52" s="52"/>
      <c r="Q52" s="51"/>
      <c r="R52" s="53"/>
      <c r="S52" s="53"/>
      <c r="T52" s="53"/>
      <c r="U52" s="52"/>
      <c r="V52" s="15"/>
      <c r="W52" s="15"/>
      <c r="X52" s="15"/>
      <c r="Y52" s="69"/>
      <c r="Z52" s="228"/>
      <c r="AA52" s="228"/>
      <c r="AB52" s="70"/>
      <c r="AC52" s="71"/>
      <c r="AD52" s="47"/>
      <c r="AE52" s="47"/>
      <c r="AF52" s="47"/>
      <c r="AG52" s="47"/>
      <c r="AH52" s="15"/>
      <c r="AI52" s="15"/>
    </row>
    <row r="53" spans="2:39" s="13" customFormat="1" ht="20.100000000000001" customHeight="1" thickTop="1" thickBot="1">
      <c r="D53" s="27"/>
      <c r="E53" s="16" t="s">
        <v>253</v>
      </c>
      <c r="F53" s="27"/>
      <c r="G53" s="27"/>
      <c r="H53" s="29"/>
      <c r="I53" s="64"/>
      <c r="J53" s="14"/>
      <c r="K53" s="16"/>
      <c r="L53" s="15"/>
      <c r="M53" s="15"/>
      <c r="N53" s="77"/>
      <c r="O53" s="64"/>
      <c r="P53" s="57">
        <v>50</v>
      </c>
      <c r="Q53" s="29"/>
      <c r="R53" s="14"/>
      <c r="S53" s="14"/>
      <c r="T53" s="14"/>
      <c r="U53" s="57"/>
      <c r="V53" s="15"/>
      <c r="W53" s="15"/>
      <c r="X53" s="15"/>
      <c r="Y53" s="69"/>
      <c r="Z53" s="228"/>
      <c r="AA53" s="228"/>
      <c r="AB53" s="70"/>
      <c r="AC53" s="71"/>
      <c r="AD53" s="27"/>
      <c r="AE53" s="27"/>
      <c r="AF53" s="27"/>
      <c r="AG53" s="27"/>
      <c r="AH53" s="15" t="s">
        <v>311</v>
      </c>
      <c r="AI53" s="15"/>
    </row>
    <row r="54" spans="2:39" ht="20.100000000000001" customHeight="1" thickTop="1" thickBot="1">
      <c r="D54" s="27"/>
      <c r="E54" s="16"/>
      <c r="F54" s="27"/>
      <c r="G54" s="27"/>
      <c r="H54" s="29"/>
      <c r="I54" s="64"/>
      <c r="J54" s="14"/>
      <c r="K54" s="14"/>
      <c r="L54" s="15"/>
      <c r="M54" s="15"/>
      <c r="N54" s="77"/>
      <c r="O54" s="29"/>
      <c r="P54" s="57"/>
      <c r="Q54" s="29"/>
      <c r="R54" s="14"/>
      <c r="S54" s="14"/>
      <c r="T54" s="5"/>
      <c r="U54" s="21"/>
      <c r="Y54" s="69"/>
      <c r="Z54" s="228"/>
      <c r="AA54" s="228"/>
      <c r="AB54" s="70"/>
      <c r="AC54" s="71"/>
      <c r="AD54" s="27"/>
      <c r="AE54" s="27"/>
      <c r="AF54" s="47"/>
      <c r="AG54" s="47"/>
      <c r="AH54" s="15"/>
      <c r="AJ54"/>
      <c r="AK54"/>
      <c r="AL54"/>
      <c r="AM54"/>
    </row>
    <row r="55" spans="2:39" ht="20.100000000000001" customHeight="1" thickTop="1" thickBot="1">
      <c r="D55" s="27"/>
      <c r="E55" s="16" t="s">
        <v>36</v>
      </c>
      <c r="F55" s="27"/>
      <c r="G55" s="27"/>
      <c r="H55" s="29"/>
      <c r="I55" s="64"/>
      <c r="J55" s="14"/>
      <c r="K55" s="16"/>
      <c r="L55" s="15"/>
      <c r="M55" s="15"/>
      <c r="N55" s="77"/>
      <c r="O55" s="129"/>
      <c r="P55" s="57">
        <v>100</v>
      </c>
      <c r="Q55" s="29"/>
      <c r="R55" s="14"/>
      <c r="S55" s="14"/>
      <c r="T55" s="5"/>
      <c r="U55" s="21"/>
      <c r="Y55" s="69"/>
      <c r="Z55" s="228"/>
      <c r="AA55" s="228"/>
      <c r="AB55" s="70"/>
      <c r="AC55" s="71"/>
      <c r="AD55" s="27"/>
      <c r="AE55" s="27"/>
      <c r="AF55" s="27"/>
      <c r="AG55" s="27"/>
      <c r="AH55" s="15"/>
      <c r="AJ55"/>
      <c r="AK55"/>
      <c r="AL55"/>
      <c r="AM55"/>
    </row>
    <row r="56" spans="2:39" ht="19.5" customHeight="1" thickTop="1" thickBot="1">
      <c r="D56" s="27"/>
      <c r="E56" s="16" t="s">
        <v>37</v>
      </c>
      <c r="F56" s="27"/>
      <c r="G56" s="27"/>
      <c r="H56" s="29"/>
      <c r="I56" s="64"/>
      <c r="J56" s="14"/>
      <c r="K56" s="16"/>
      <c r="L56" s="15"/>
      <c r="M56" s="15"/>
      <c r="N56" s="77">
        <v>100</v>
      </c>
      <c r="O56" s="64"/>
      <c r="P56" s="57">
        <v>100</v>
      </c>
      <c r="Q56" s="29" t="s">
        <v>430</v>
      </c>
      <c r="R56" s="14"/>
      <c r="S56" s="14"/>
      <c r="T56" s="5"/>
      <c r="U56" s="21"/>
      <c r="Y56" s="69"/>
      <c r="Z56" s="228"/>
      <c r="AA56" s="228"/>
      <c r="AB56" s="70"/>
      <c r="AC56" s="71"/>
      <c r="AD56" s="27"/>
      <c r="AE56" s="27"/>
      <c r="AF56" s="27"/>
      <c r="AG56" s="27"/>
      <c r="AH56" s="15"/>
      <c r="AJ56"/>
      <c r="AK56"/>
      <c r="AL56"/>
      <c r="AM56"/>
    </row>
    <row r="57" spans="2:39" ht="19.5" customHeight="1" thickTop="1" thickBot="1">
      <c r="D57" s="27"/>
      <c r="E57" s="16" t="s">
        <v>367</v>
      </c>
      <c r="F57" s="27"/>
      <c r="G57" s="27"/>
      <c r="H57" s="29"/>
      <c r="I57" s="64"/>
      <c r="J57" s="14"/>
      <c r="K57" s="16"/>
      <c r="L57" s="15"/>
      <c r="M57" s="15"/>
      <c r="N57" s="77"/>
      <c r="O57" s="64"/>
      <c r="P57" s="57">
        <v>100</v>
      </c>
      <c r="Q57" s="29" t="s">
        <v>430</v>
      </c>
      <c r="R57" s="14"/>
      <c r="S57" s="14"/>
      <c r="T57" s="65"/>
      <c r="U57" s="21"/>
      <c r="Y57" s="69"/>
      <c r="Z57" s="228"/>
      <c r="AA57" s="228"/>
      <c r="AB57" s="70"/>
      <c r="AC57" s="71"/>
      <c r="AD57" s="27"/>
      <c r="AE57" s="27"/>
      <c r="AF57" s="47"/>
      <c r="AG57" s="47"/>
      <c r="AH57" s="15"/>
      <c r="AJ57"/>
      <c r="AK57"/>
      <c r="AL57"/>
      <c r="AM57"/>
    </row>
    <row r="58" spans="2:39" ht="19.5" customHeight="1" thickTop="1" thickBot="1">
      <c r="D58" s="27"/>
      <c r="E58" s="16" t="s">
        <v>55</v>
      </c>
      <c r="F58" s="27"/>
      <c r="G58" s="27"/>
      <c r="H58" s="29">
        <v>100</v>
      </c>
      <c r="I58" s="64"/>
      <c r="J58" s="14"/>
      <c r="K58" s="16"/>
      <c r="L58" s="15"/>
      <c r="M58" s="15"/>
      <c r="N58" s="77"/>
      <c r="O58" s="64"/>
      <c r="P58" s="57">
        <v>100</v>
      </c>
      <c r="Q58" s="221"/>
      <c r="R58" s="14"/>
      <c r="S58" s="14"/>
      <c r="T58" s="65"/>
      <c r="U58" s="21"/>
      <c r="Y58" s="69"/>
      <c r="Z58" s="228"/>
      <c r="AA58" s="228"/>
      <c r="AB58" s="70"/>
      <c r="AC58" s="71"/>
      <c r="AD58" s="27"/>
      <c r="AE58" s="27"/>
      <c r="AF58" s="47"/>
      <c r="AG58" s="47"/>
      <c r="AH58" s="15"/>
      <c r="AJ58"/>
      <c r="AK58"/>
      <c r="AL58"/>
      <c r="AM58"/>
    </row>
    <row r="59" spans="2:39" ht="19.5" customHeight="1" thickTop="1" thickBot="1">
      <c r="D59" s="27"/>
      <c r="E59" s="16" t="s">
        <v>366</v>
      </c>
      <c r="F59" s="27"/>
      <c r="G59" s="27"/>
      <c r="H59" s="29"/>
      <c r="I59" s="64"/>
      <c r="J59" s="14"/>
      <c r="K59" s="16"/>
      <c r="L59" s="15"/>
      <c r="M59" s="15"/>
      <c r="N59" s="77"/>
      <c r="O59" s="64"/>
      <c r="P59" s="57">
        <v>100</v>
      </c>
      <c r="Q59" s="29" t="s">
        <v>430</v>
      </c>
      <c r="R59" s="14"/>
      <c r="S59" s="14"/>
      <c r="T59" s="65"/>
      <c r="U59" s="21"/>
      <c r="Y59" s="69"/>
      <c r="Z59" s="228"/>
      <c r="AA59" s="228"/>
      <c r="AB59" s="70"/>
      <c r="AC59" s="71"/>
      <c r="AD59" s="27"/>
      <c r="AE59" s="27"/>
      <c r="AF59" s="47"/>
      <c r="AG59" s="47"/>
      <c r="AH59" s="15"/>
      <c r="AJ59"/>
      <c r="AK59"/>
      <c r="AL59"/>
      <c r="AM59"/>
    </row>
    <row r="60" spans="2:39" ht="18" customHeight="1" thickTop="1" thickBot="1">
      <c r="D60" s="27"/>
      <c r="E60" s="16"/>
      <c r="F60" s="27"/>
      <c r="G60" s="27"/>
      <c r="H60" s="29"/>
      <c r="I60" s="64"/>
      <c r="J60" s="14"/>
      <c r="K60" s="16"/>
      <c r="L60" s="15"/>
      <c r="M60" s="15"/>
      <c r="N60" s="77"/>
      <c r="O60" s="64"/>
      <c r="P60" s="57"/>
      <c r="Q60" s="50"/>
      <c r="R60" s="14"/>
      <c r="S60" s="14"/>
      <c r="T60" s="5"/>
      <c r="U60" s="21"/>
      <c r="Y60" s="69"/>
      <c r="Z60" s="228"/>
      <c r="AA60" s="228"/>
      <c r="AB60" s="70"/>
      <c r="AC60" s="71"/>
      <c r="AD60" s="27"/>
      <c r="AE60" s="27"/>
      <c r="AF60" s="47"/>
      <c r="AG60" s="47"/>
      <c r="AH60" s="15"/>
      <c r="AJ60"/>
      <c r="AK60"/>
      <c r="AL60"/>
      <c r="AM60"/>
    </row>
    <row r="61" spans="2:39" ht="18" customHeight="1" thickTop="1" thickBot="1">
      <c r="B61" s="13" t="s">
        <v>191</v>
      </c>
      <c r="C61" s="13"/>
      <c r="D61" s="27"/>
      <c r="E61" s="16" t="s">
        <v>330</v>
      </c>
      <c r="F61" s="27"/>
      <c r="G61" s="27"/>
      <c r="H61" s="234"/>
      <c r="I61" s="235"/>
      <c r="J61" s="14"/>
      <c r="K61" s="16"/>
      <c r="L61" s="15"/>
      <c r="M61" s="15"/>
      <c r="N61" s="77"/>
      <c r="O61" s="64"/>
      <c r="P61" s="57">
        <v>200</v>
      </c>
      <c r="Q61" s="50"/>
      <c r="R61" s="53">
        <v>5</v>
      </c>
      <c r="S61" s="53"/>
      <c r="T61" s="5"/>
      <c r="U61" s="21"/>
      <c r="Y61" s="69"/>
      <c r="Z61" s="228"/>
      <c r="AA61" s="228"/>
      <c r="AB61" s="70"/>
      <c r="AC61" s="71"/>
      <c r="AD61" s="27"/>
      <c r="AE61" s="27"/>
      <c r="AF61" s="47"/>
      <c r="AG61" s="47"/>
      <c r="AH61" s="15"/>
      <c r="AJ61"/>
      <c r="AK61"/>
      <c r="AL61"/>
      <c r="AM61"/>
    </row>
    <row r="62" spans="2:39" ht="18" customHeight="1" thickTop="1" thickBot="1">
      <c r="B62" s="13"/>
      <c r="C62" s="13"/>
      <c r="D62" s="27"/>
      <c r="E62" s="16" t="s">
        <v>351</v>
      </c>
      <c r="F62" s="27"/>
      <c r="G62" s="27"/>
      <c r="H62" s="29"/>
      <c r="I62" s="64"/>
      <c r="J62" s="14"/>
      <c r="K62" s="16"/>
      <c r="L62" s="15"/>
      <c r="M62" s="15"/>
      <c r="N62" s="77"/>
      <c r="O62" s="64"/>
      <c r="P62" s="57"/>
      <c r="Q62" s="50"/>
      <c r="R62" s="53">
        <v>5</v>
      </c>
      <c r="S62" s="53"/>
      <c r="T62" s="5"/>
      <c r="U62" s="21"/>
      <c r="Y62" s="69"/>
      <c r="Z62" s="228"/>
      <c r="AA62" s="228"/>
      <c r="AB62" s="70"/>
      <c r="AC62" s="71"/>
      <c r="AD62" s="27"/>
      <c r="AE62" s="27"/>
      <c r="AF62" s="47"/>
      <c r="AG62" s="47"/>
      <c r="AH62" s="15"/>
      <c r="AJ62"/>
      <c r="AK62"/>
      <c r="AL62"/>
      <c r="AM62"/>
    </row>
    <row r="63" spans="2:39" ht="18" customHeight="1" thickTop="1" thickBot="1">
      <c r="B63" s="13"/>
      <c r="C63" s="13"/>
      <c r="D63" s="27"/>
      <c r="E63" s="16" t="s">
        <v>332</v>
      </c>
      <c r="F63" s="27"/>
      <c r="G63" s="27"/>
      <c r="H63" s="234"/>
      <c r="I63" s="235"/>
      <c r="J63" s="14"/>
      <c r="K63" s="16"/>
      <c r="L63" s="15"/>
      <c r="M63" s="15"/>
      <c r="N63" s="77"/>
      <c r="O63" s="64"/>
      <c r="P63" s="57">
        <v>200</v>
      </c>
      <c r="Q63" s="50"/>
      <c r="R63" s="53">
        <v>5</v>
      </c>
      <c r="S63" s="53"/>
      <c r="T63" s="5"/>
      <c r="U63" s="21"/>
      <c r="Y63" s="69"/>
      <c r="Z63" s="228"/>
      <c r="AA63" s="228"/>
      <c r="AB63" s="70"/>
      <c r="AC63" s="71"/>
      <c r="AD63" s="27"/>
      <c r="AE63" s="27"/>
      <c r="AF63" s="47"/>
      <c r="AG63" s="47"/>
      <c r="AH63" s="15"/>
      <c r="AJ63"/>
      <c r="AK63"/>
      <c r="AL63"/>
      <c r="AM63"/>
    </row>
    <row r="64" spans="2:39" ht="18" customHeight="1" thickTop="1" thickBot="1">
      <c r="B64" s="13"/>
      <c r="C64" s="13"/>
      <c r="D64" s="27"/>
      <c r="E64" s="16" t="s">
        <v>333</v>
      </c>
      <c r="F64" s="27"/>
      <c r="G64" s="27"/>
      <c r="H64" s="29"/>
      <c r="I64" s="64"/>
      <c r="J64" s="14"/>
      <c r="K64" s="16"/>
      <c r="L64" s="15"/>
      <c r="M64" s="15"/>
      <c r="N64" s="77"/>
      <c r="O64" s="64"/>
      <c r="P64" s="57"/>
      <c r="Q64" s="50"/>
      <c r="R64" s="53">
        <v>5</v>
      </c>
      <c r="S64" s="53"/>
      <c r="T64" s="5"/>
      <c r="U64" s="21"/>
      <c r="Y64" s="69"/>
      <c r="Z64" s="228"/>
      <c r="AA64" s="228"/>
      <c r="AB64" s="70"/>
      <c r="AC64" s="71"/>
      <c r="AD64" s="27"/>
      <c r="AE64" s="27"/>
      <c r="AF64" s="47"/>
      <c r="AG64" s="47"/>
      <c r="AH64" s="15"/>
      <c r="AJ64"/>
      <c r="AK64"/>
      <c r="AL64"/>
      <c r="AM64"/>
    </row>
    <row r="65" spans="2:39" ht="18" customHeight="1" thickTop="1" thickBot="1">
      <c r="B65" s="13"/>
      <c r="C65" s="13"/>
      <c r="D65" s="27"/>
      <c r="E65" s="16" t="s">
        <v>334</v>
      </c>
      <c r="F65" s="27"/>
      <c r="G65" s="27"/>
      <c r="H65" s="29"/>
      <c r="I65" s="64"/>
      <c r="J65" s="14"/>
      <c r="K65" s="16"/>
      <c r="L65" s="15"/>
      <c r="M65" s="15"/>
      <c r="N65" s="77"/>
      <c r="O65" s="64"/>
      <c r="P65" s="57"/>
      <c r="Q65" s="50"/>
      <c r="R65" s="14">
        <v>5</v>
      </c>
      <c r="S65" s="14"/>
      <c r="T65" s="5"/>
      <c r="U65" s="21"/>
      <c r="Y65" s="69"/>
      <c r="Z65" s="228"/>
      <c r="AA65" s="228"/>
      <c r="AB65" s="70"/>
      <c r="AC65" s="71"/>
      <c r="AD65" s="27"/>
      <c r="AE65" s="27"/>
      <c r="AF65" s="47"/>
      <c r="AG65" s="47"/>
      <c r="AH65" s="15"/>
      <c r="AJ65"/>
      <c r="AK65"/>
      <c r="AL65"/>
      <c r="AM65"/>
    </row>
    <row r="66" spans="2:39" ht="18" customHeight="1" thickTop="1" thickBot="1">
      <c r="D66" s="27"/>
      <c r="E66" s="16" t="s">
        <v>102</v>
      </c>
      <c r="F66" s="27"/>
      <c r="G66" s="27"/>
      <c r="H66" s="29"/>
      <c r="I66" s="64"/>
      <c r="J66" s="14"/>
      <c r="K66" s="16"/>
      <c r="L66" s="15"/>
      <c r="M66" s="15"/>
      <c r="N66" s="77"/>
      <c r="O66" s="64"/>
      <c r="P66" s="57"/>
      <c r="Q66" s="50"/>
      <c r="R66" s="14">
        <v>5</v>
      </c>
      <c r="S66" s="14"/>
      <c r="T66" s="5"/>
      <c r="U66" s="21"/>
      <c r="Y66" s="69"/>
      <c r="Z66" s="228"/>
      <c r="AA66" s="228"/>
      <c r="AB66" s="70"/>
      <c r="AC66" s="71"/>
      <c r="AD66" s="27"/>
      <c r="AE66" s="27"/>
      <c r="AF66" s="47"/>
      <c r="AG66" s="47"/>
      <c r="AH66" s="15"/>
      <c r="AJ66"/>
      <c r="AK66"/>
      <c r="AL66"/>
      <c r="AM66"/>
    </row>
    <row r="67" spans="2:39" ht="19.5" customHeight="1" thickTop="1" thickBot="1">
      <c r="D67" s="27"/>
      <c r="E67" s="16" t="s">
        <v>336</v>
      </c>
      <c r="F67" s="27"/>
      <c r="G67" s="27"/>
      <c r="H67" s="234"/>
      <c r="I67" s="235"/>
      <c r="J67" s="14"/>
      <c r="K67" s="16"/>
      <c r="L67" s="15"/>
      <c r="M67" s="15"/>
      <c r="N67" s="77"/>
      <c r="O67" s="64"/>
      <c r="P67" s="57">
        <v>200</v>
      </c>
      <c r="Q67" s="50"/>
      <c r="R67" s="14">
        <v>7</v>
      </c>
      <c r="S67" s="14"/>
      <c r="T67" s="5"/>
      <c r="U67" s="21"/>
      <c r="Y67" s="69"/>
      <c r="Z67" s="228"/>
      <c r="AA67" s="228"/>
      <c r="AB67" s="70"/>
      <c r="AC67" s="71"/>
      <c r="AD67" s="27"/>
      <c r="AE67" s="27"/>
      <c r="AF67" s="47"/>
      <c r="AG67" s="47"/>
      <c r="AH67" s="15"/>
      <c r="AJ67"/>
      <c r="AK67"/>
      <c r="AL67"/>
      <c r="AM67"/>
    </row>
    <row r="68" spans="2:39" ht="18" customHeight="1" thickTop="1" thickBot="1">
      <c r="D68" s="27"/>
      <c r="E68" s="16" t="s">
        <v>337</v>
      </c>
      <c r="F68" s="27"/>
      <c r="G68" s="27"/>
      <c r="H68" s="29"/>
      <c r="I68" s="64"/>
      <c r="J68" s="14"/>
      <c r="K68" s="16"/>
      <c r="L68" s="15"/>
      <c r="M68" s="15"/>
      <c r="N68" s="77"/>
      <c r="O68" s="64"/>
      <c r="P68" s="57"/>
      <c r="Q68" s="50"/>
      <c r="R68" s="14">
        <v>5</v>
      </c>
      <c r="S68" s="14"/>
      <c r="T68" s="5"/>
      <c r="U68" s="21"/>
      <c r="Y68" s="69"/>
      <c r="Z68" s="228"/>
      <c r="AA68" s="228"/>
      <c r="AB68" s="70"/>
      <c r="AC68" s="71"/>
      <c r="AD68" s="27"/>
      <c r="AE68" s="27"/>
      <c r="AF68" s="47"/>
      <c r="AG68" s="47"/>
      <c r="AH68" s="15"/>
      <c r="AJ68"/>
      <c r="AK68"/>
      <c r="AL68"/>
      <c r="AM68"/>
    </row>
    <row r="69" spans="2:39" ht="19.5" customHeight="1" thickTop="1" thickBot="1">
      <c r="D69" s="27"/>
      <c r="E69" s="16" t="s">
        <v>429</v>
      </c>
      <c r="F69" s="27"/>
      <c r="G69" s="27"/>
      <c r="H69" s="29"/>
      <c r="I69" s="64"/>
      <c r="J69" s="14"/>
      <c r="K69" s="16"/>
      <c r="L69" s="15"/>
      <c r="M69" s="15"/>
      <c r="N69" s="77"/>
      <c r="O69" s="64"/>
      <c r="P69" s="57"/>
      <c r="Q69" s="50"/>
      <c r="R69" s="14">
        <v>5</v>
      </c>
      <c r="S69" s="14"/>
      <c r="T69" s="5"/>
      <c r="U69" s="21"/>
      <c r="Y69" s="69"/>
      <c r="Z69" s="228"/>
      <c r="AA69" s="228"/>
      <c r="AB69" s="70"/>
      <c r="AC69" s="71"/>
      <c r="AD69" s="27"/>
      <c r="AE69" s="27"/>
      <c r="AF69" s="47"/>
      <c r="AG69" s="47"/>
      <c r="AH69" s="15"/>
      <c r="AJ69"/>
      <c r="AK69"/>
      <c r="AL69"/>
      <c r="AM69"/>
    </row>
    <row r="70" spans="2:39" ht="19.5" customHeight="1" thickTop="1" thickBot="1">
      <c r="B70" t="s">
        <v>191</v>
      </c>
      <c r="D70" s="27"/>
      <c r="E70" s="16" t="s">
        <v>434</v>
      </c>
      <c r="F70" s="27"/>
      <c r="G70" s="27"/>
      <c r="H70" s="29"/>
      <c r="I70" s="64"/>
      <c r="J70" s="14"/>
      <c r="K70" s="16"/>
      <c r="L70" s="15"/>
      <c r="M70" s="15"/>
      <c r="N70" s="77"/>
      <c r="O70" s="64"/>
      <c r="P70" s="57"/>
      <c r="Q70" s="50"/>
      <c r="R70" s="14">
        <v>7</v>
      </c>
      <c r="S70" s="14"/>
      <c r="T70" s="5"/>
      <c r="U70" s="21"/>
      <c r="Y70" s="69"/>
      <c r="Z70" s="228"/>
      <c r="AA70" s="228"/>
      <c r="AB70" s="70"/>
      <c r="AC70" s="71"/>
      <c r="AD70" s="27"/>
      <c r="AE70" s="27"/>
      <c r="AF70" s="47"/>
      <c r="AG70" s="47"/>
      <c r="AH70" s="15"/>
      <c r="AJ70"/>
      <c r="AK70"/>
      <c r="AL70"/>
      <c r="AM70"/>
    </row>
    <row r="71" spans="2:39" ht="19.5" customHeight="1" thickTop="1" thickBot="1">
      <c r="D71" s="27"/>
      <c r="E71" s="16" t="s">
        <v>435</v>
      </c>
      <c r="F71" s="27"/>
      <c r="G71" s="27"/>
      <c r="H71" s="29"/>
      <c r="I71" s="64"/>
      <c r="J71" s="14"/>
      <c r="K71" s="16"/>
      <c r="L71" s="15"/>
      <c r="M71" s="15"/>
      <c r="N71" s="77"/>
      <c r="O71" s="64"/>
      <c r="P71" s="57"/>
      <c r="Q71" s="50"/>
      <c r="R71" s="14">
        <v>5</v>
      </c>
      <c r="S71" s="14"/>
      <c r="T71" s="5"/>
      <c r="U71" s="21"/>
      <c r="Y71" s="69"/>
      <c r="Z71" s="228"/>
      <c r="AA71" s="228"/>
      <c r="AB71" s="70"/>
      <c r="AC71" s="71"/>
      <c r="AD71" s="27"/>
      <c r="AE71" s="27"/>
      <c r="AF71" s="47"/>
      <c r="AG71" s="47"/>
      <c r="AH71" s="15"/>
      <c r="AJ71"/>
      <c r="AK71"/>
      <c r="AL71"/>
      <c r="AM71"/>
    </row>
    <row r="72" spans="2:39" ht="19.5" customHeight="1" thickTop="1" thickBot="1">
      <c r="D72" s="27"/>
      <c r="E72" s="16" t="s">
        <v>351</v>
      </c>
      <c r="F72" s="27"/>
      <c r="G72" s="27"/>
      <c r="H72" s="29"/>
      <c r="I72" s="64"/>
      <c r="J72" s="14"/>
      <c r="K72" s="16"/>
      <c r="L72" s="15"/>
      <c r="M72" s="15"/>
      <c r="N72" s="77"/>
      <c r="O72" s="64"/>
      <c r="P72" s="57"/>
      <c r="Q72" s="50"/>
      <c r="R72" s="14"/>
      <c r="S72" s="14"/>
      <c r="T72" s="5"/>
      <c r="U72" s="21"/>
      <c r="Y72" s="69"/>
      <c r="Z72" s="228"/>
      <c r="AA72" s="228"/>
      <c r="AB72" s="70"/>
      <c r="AC72" s="71"/>
      <c r="AD72" s="27"/>
      <c r="AE72" s="27"/>
      <c r="AF72" s="47"/>
      <c r="AG72" s="47"/>
      <c r="AH72" s="15"/>
      <c r="AJ72"/>
      <c r="AK72"/>
      <c r="AL72"/>
      <c r="AM72"/>
    </row>
    <row r="73" spans="2:39" ht="19.5" customHeight="1" thickTop="1" thickBot="1">
      <c r="D73" s="27"/>
      <c r="E73" s="16" t="s">
        <v>331</v>
      </c>
      <c r="F73" s="27"/>
      <c r="G73" s="27"/>
      <c r="H73" s="29"/>
      <c r="I73" s="64"/>
      <c r="J73" s="14"/>
      <c r="K73" s="16"/>
      <c r="L73" s="15"/>
      <c r="M73" s="15"/>
      <c r="N73" s="77"/>
      <c r="O73" s="64"/>
      <c r="P73" s="57"/>
      <c r="Q73" s="29"/>
      <c r="R73" s="14"/>
      <c r="S73" s="14"/>
      <c r="T73" s="5"/>
      <c r="U73" s="21"/>
      <c r="Y73" s="69"/>
      <c r="Z73" s="228"/>
      <c r="AA73" s="228"/>
      <c r="AB73" s="70"/>
      <c r="AC73" s="71"/>
      <c r="AD73" s="27"/>
      <c r="AE73" s="27"/>
      <c r="AF73" s="47"/>
      <c r="AG73" s="47"/>
      <c r="AH73" s="15"/>
      <c r="AJ73"/>
      <c r="AK73"/>
      <c r="AL73"/>
      <c r="AM73"/>
    </row>
    <row r="74" spans="2:39" ht="19.5" customHeight="1" thickTop="1" thickBot="1">
      <c r="D74" s="27"/>
      <c r="E74" s="16"/>
      <c r="F74" s="27"/>
      <c r="G74" s="27"/>
      <c r="H74" s="29"/>
      <c r="I74" s="64"/>
      <c r="J74" s="14"/>
      <c r="K74" s="16"/>
      <c r="L74" s="15"/>
      <c r="M74" s="15"/>
      <c r="N74" s="77"/>
      <c r="O74" s="64"/>
      <c r="P74" s="57"/>
      <c r="Q74" s="50"/>
      <c r="R74" s="14"/>
      <c r="S74" s="14"/>
      <c r="T74" s="5"/>
      <c r="U74" s="21"/>
      <c r="Y74" s="69"/>
      <c r="Z74" s="228"/>
      <c r="AA74" s="228"/>
      <c r="AB74" s="70"/>
      <c r="AC74" s="71"/>
      <c r="AD74" s="27"/>
      <c r="AE74" s="27"/>
      <c r="AF74" s="47"/>
      <c r="AG74" s="47"/>
      <c r="AH74" s="15"/>
      <c r="AJ74"/>
      <c r="AK74"/>
      <c r="AL74"/>
      <c r="AM74"/>
    </row>
    <row r="75" spans="2:39" ht="19.5" customHeight="1" thickTop="1" thickBot="1">
      <c r="D75" s="47"/>
      <c r="E75" s="16"/>
      <c r="F75" s="27"/>
      <c r="G75" s="27"/>
      <c r="H75" s="64"/>
      <c r="I75" s="64"/>
      <c r="J75" s="14"/>
      <c r="K75" s="16"/>
      <c r="L75" s="15"/>
      <c r="M75" s="15"/>
      <c r="N75" s="77"/>
      <c r="O75" s="64"/>
      <c r="P75" s="57"/>
      <c r="Q75" s="221"/>
      <c r="R75" s="14"/>
      <c r="S75" s="14"/>
      <c r="T75" s="65"/>
      <c r="U75" s="21"/>
      <c r="Y75" s="69"/>
      <c r="Z75" s="228"/>
      <c r="AA75" s="228"/>
      <c r="AB75" s="70"/>
      <c r="AC75" s="71"/>
      <c r="AD75" s="233"/>
      <c r="AE75" s="233"/>
      <c r="AF75" s="47"/>
      <c r="AG75" s="47"/>
      <c r="AH75" s="15"/>
      <c r="AJ75"/>
      <c r="AK75"/>
      <c r="AL75"/>
      <c r="AM75"/>
    </row>
    <row r="76" spans="2:39" ht="19.5" customHeight="1" thickTop="1" thickBot="1">
      <c r="D76" s="47"/>
      <c r="E76" s="16"/>
      <c r="F76" s="27"/>
      <c r="G76" s="27"/>
      <c r="H76" s="64"/>
      <c r="I76" s="64"/>
      <c r="J76" s="14"/>
      <c r="K76" s="16"/>
      <c r="L76" s="15"/>
      <c r="M76" s="15"/>
      <c r="N76" s="77"/>
      <c r="O76" s="64"/>
      <c r="P76" s="57"/>
      <c r="Q76" s="221"/>
      <c r="R76" s="14"/>
      <c r="S76" s="14"/>
      <c r="T76" s="65"/>
      <c r="U76" s="21"/>
      <c r="Y76" s="69"/>
      <c r="Z76" s="228"/>
      <c r="AA76" s="228"/>
      <c r="AB76" s="70"/>
      <c r="AC76" s="71"/>
      <c r="AD76" s="233"/>
      <c r="AE76" s="233"/>
      <c r="AF76" s="47"/>
      <c r="AG76" s="47"/>
      <c r="AH76" s="15"/>
      <c r="AJ76"/>
      <c r="AK76"/>
      <c r="AL76"/>
      <c r="AM76"/>
    </row>
    <row r="77" spans="2:39" ht="19.5" customHeight="1" thickTop="1" thickBot="1">
      <c r="D77" s="47"/>
      <c r="E77" s="16"/>
      <c r="F77" s="27"/>
      <c r="G77" s="27"/>
      <c r="H77" s="64"/>
      <c r="I77" s="64"/>
      <c r="J77" s="14"/>
      <c r="K77" s="16"/>
      <c r="L77" s="15"/>
      <c r="M77" s="15"/>
      <c r="N77" s="77"/>
      <c r="O77" s="64"/>
      <c r="P77" s="57"/>
      <c r="Q77" s="221"/>
      <c r="R77" s="14"/>
      <c r="S77" s="14"/>
      <c r="T77" s="65"/>
      <c r="U77" s="21"/>
      <c r="Y77" s="69"/>
      <c r="Z77" s="228"/>
      <c r="AA77" s="228"/>
      <c r="AB77" s="70"/>
      <c r="AC77" s="71"/>
      <c r="AD77" s="233"/>
      <c r="AE77" s="233"/>
      <c r="AF77" s="47"/>
      <c r="AG77" s="47"/>
      <c r="AH77" s="15"/>
      <c r="AJ77"/>
      <c r="AK77"/>
      <c r="AL77"/>
      <c r="AM77"/>
    </row>
    <row r="78" spans="2:39" ht="19.5" customHeight="1" thickTop="1" thickBot="1">
      <c r="D78" s="47"/>
      <c r="E78" s="16"/>
      <c r="F78" s="27"/>
      <c r="G78" s="27"/>
      <c r="H78" s="64"/>
      <c r="I78" s="64"/>
      <c r="J78" s="14"/>
      <c r="K78" s="16"/>
      <c r="L78" s="15"/>
      <c r="M78" s="15"/>
      <c r="N78" s="77"/>
      <c r="O78" s="64"/>
      <c r="P78" s="57"/>
      <c r="Q78" s="221"/>
      <c r="R78" s="14"/>
      <c r="S78" s="14"/>
      <c r="T78" s="65"/>
      <c r="U78" s="21"/>
      <c r="Y78" s="69"/>
      <c r="Z78" s="228"/>
      <c r="AA78" s="228"/>
      <c r="AB78" s="70"/>
      <c r="AC78" s="71"/>
      <c r="AD78" s="233"/>
      <c r="AE78" s="233"/>
      <c r="AF78" s="47"/>
      <c r="AG78" s="47"/>
      <c r="AH78" s="15"/>
      <c r="AJ78"/>
      <c r="AK78"/>
      <c r="AL78"/>
      <c r="AM78"/>
    </row>
    <row r="79" spans="2:39" ht="19.5" customHeight="1" thickTop="1" thickBot="1">
      <c r="D79" s="47"/>
      <c r="E79" s="16"/>
      <c r="F79" s="27"/>
      <c r="G79" s="27"/>
      <c r="H79" s="64"/>
      <c r="I79" s="64"/>
      <c r="J79" s="14"/>
      <c r="K79" s="16"/>
      <c r="L79" s="15"/>
      <c r="M79" s="15"/>
      <c r="N79" s="77"/>
      <c r="O79" s="64"/>
      <c r="P79" s="57"/>
      <c r="Q79" s="221"/>
      <c r="R79" s="14"/>
      <c r="S79" s="14"/>
      <c r="T79" s="65"/>
      <c r="U79" s="21"/>
      <c r="Y79" s="69"/>
      <c r="Z79" s="228"/>
      <c r="AA79" s="228"/>
      <c r="AB79" s="70"/>
      <c r="AC79" s="71"/>
      <c r="AD79" s="233"/>
      <c r="AE79" s="233"/>
      <c r="AF79" s="47"/>
      <c r="AG79" s="47"/>
      <c r="AH79" s="15"/>
      <c r="AJ79"/>
      <c r="AK79"/>
      <c r="AL79"/>
      <c r="AM79"/>
    </row>
    <row r="80" spans="2:39" ht="19.5" customHeight="1" thickTop="1" thickBot="1">
      <c r="D80" s="47"/>
      <c r="E80" s="16"/>
      <c r="F80" s="27"/>
      <c r="G80" s="27"/>
      <c r="H80" s="64"/>
      <c r="I80" s="64"/>
      <c r="J80" s="14"/>
      <c r="K80" s="16"/>
      <c r="L80" s="15"/>
      <c r="M80" s="15"/>
      <c r="N80" s="77"/>
      <c r="O80" s="64"/>
      <c r="P80" s="57"/>
      <c r="Q80" s="221"/>
      <c r="R80" s="14"/>
      <c r="S80" s="14"/>
      <c r="T80" s="65"/>
      <c r="U80" s="21"/>
      <c r="Y80" s="69"/>
      <c r="Z80" s="228"/>
      <c r="AA80" s="228"/>
      <c r="AB80" s="70"/>
      <c r="AC80" s="71"/>
      <c r="AD80" s="233"/>
      <c r="AE80" s="233"/>
      <c r="AF80" s="47"/>
      <c r="AG80" s="47"/>
      <c r="AH80" s="15"/>
      <c r="AJ80"/>
      <c r="AK80"/>
      <c r="AL80"/>
      <c r="AM80"/>
    </row>
    <row r="81" spans="1:39" ht="19.5" customHeight="1" thickTop="1" thickBot="1">
      <c r="D81" s="47"/>
      <c r="E81" s="16"/>
      <c r="F81" s="27"/>
      <c r="G81" s="27"/>
      <c r="H81" s="64"/>
      <c r="I81" s="64"/>
      <c r="J81" s="14"/>
      <c r="K81" s="16"/>
      <c r="L81" s="15"/>
      <c r="M81" s="15"/>
      <c r="N81" s="77"/>
      <c r="O81" s="64"/>
      <c r="P81" s="57"/>
      <c r="Q81" s="221"/>
      <c r="R81" s="14"/>
      <c r="S81" s="14"/>
      <c r="T81" s="65"/>
      <c r="U81" s="21"/>
      <c r="Y81" s="69"/>
      <c r="Z81" s="228"/>
      <c r="AA81" s="228"/>
      <c r="AB81" s="70"/>
      <c r="AC81" s="71"/>
      <c r="AD81" s="233"/>
      <c r="AE81" s="233"/>
      <c r="AF81" s="47"/>
      <c r="AG81" s="47"/>
      <c r="AH81" s="15"/>
      <c r="AJ81"/>
      <c r="AK81"/>
      <c r="AL81"/>
      <c r="AM81"/>
    </row>
    <row r="82" spans="1:39" ht="19.5" customHeight="1" thickTop="1" thickBot="1">
      <c r="D82" s="47"/>
      <c r="E82" s="16"/>
      <c r="F82" s="27"/>
      <c r="G82" s="27"/>
      <c r="H82" s="64"/>
      <c r="I82" s="64"/>
      <c r="J82" s="14"/>
      <c r="K82" s="16"/>
      <c r="L82" s="15"/>
      <c r="M82" s="15"/>
      <c r="N82" s="77"/>
      <c r="O82" s="64"/>
      <c r="P82" s="57"/>
      <c r="Q82" s="221"/>
      <c r="R82" s="14"/>
      <c r="S82" s="14"/>
      <c r="T82" s="65"/>
      <c r="U82" s="21"/>
      <c r="Y82" s="69"/>
      <c r="Z82" s="228"/>
      <c r="AA82" s="228"/>
      <c r="AB82" s="70"/>
      <c r="AC82" s="71"/>
      <c r="AD82" s="233"/>
      <c r="AE82" s="233"/>
      <c r="AF82" s="47"/>
      <c r="AG82" s="47"/>
      <c r="AH82" s="15"/>
      <c r="AJ82"/>
      <c r="AK82"/>
      <c r="AL82"/>
      <c r="AM82"/>
    </row>
    <row r="83" spans="1:39" ht="19.5" customHeight="1" thickTop="1" thickBot="1">
      <c r="D83" s="47"/>
      <c r="E83" s="16"/>
      <c r="F83" s="27"/>
      <c r="G83" s="27"/>
      <c r="H83" s="64"/>
      <c r="I83" s="64"/>
      <c r="J83" s="14"/>
      <c r="K83" s="16"/>
      <c r="L83" s="15"/>
      <c r="M83" s="15"/>
      <c r="N83" s="77"/>
      <c r="O83" s="64"/>
      <c r="P83" s="57"/>
      <c r="Q83" s="221"/>
      <c r="R83" s="14"/>
      <c r="S83" s="14"/>
      <c r="T83" s="65"/>
      <c r="U83" s="21"/>
      <c r="Y83" s="69"/>
      <c r="Z83" s="228"/>
      <c r="AA83" s="228"/>
      <c r="AB83" s="70"/>
      <c r="AC83" s="71"/>
      <c r="AD83" s="233"/>
      <c r="AE83" s="233"/>
      <c r="AF83" s="47"/>
      <c r="AG83" s="47"/>
      <c r="AH83" s="15"/>
      <c r="AJ83"/>
      <c r="AK83"/>
      <c r="AL83"/>
      <c r="AM83"/>
    </row>
    <row r="84" spans="1:39" ht="19.5" customHeight="1" thickTop="1" thickBot="1">
      <c r="D84" s="47"/>
      <c r="E84" s="16"/>
      <c r="F84" s="27"/>
      <c r="G84" s="27"/>
      <c r="H84" s="64"/>
      <c r="I84" s="64"/>
      <c r="J84" s="14"/>
      <c r="K84" s="16"/>
      <c r="L84" s="15"/>
      <c r="M84" s="15"/>
      <c r="N84" s="77"/>
      <c r="O84" s="64"/>
      <c r="P84" s="57"/>
      <c r="Q84" s="221"/>
      <c r="R84" s="14"/>
      <c r="S84" s="14"/>
      <c r="T84" s="65"/>
      <c r="U84" s="21"/>
      <c r="Y84" s="69"/>
      <c r="Z84" s="228"/>
      <c r="AA84" s="228"/>
      <c r="AB84" s="70"/>
      <c r="AC84" s="71"/>
      <c r="AD84" s="233"/>
      <c r="AE84" s="233"/>
      <c r="AF84" s="47"/>
      <c r="AG84" s="47"/>
      <c r="AH84" s="15"/>
      <c r="AJ84"/>
      <c r="AK84"/>
      <c r="AL84"/>
      <c r="AM84"/>
    </row>
    <row r="85" spans="1:39" ht="19.5" customHeight="1" thickTop="1" thickBot="1">
      <c r="D85" s="47"/>
      <c r="E85" s="16"/>
      <c r="F85" s="27"/>
      <c r="G85" s="27"/>
      <c r="H85" s="64"/>
      <c r="I85" s="64"/>
      <c r="J85" s="14"/>
      <c r="K85" s="16"/>
      <c r="L85" s="15"/>
      <c r="M85" s="15"/>
      <c r="N85" s="77"/>
      <c r="O85" s="64"/>
      <c r="P85" s="57"/>
      <c r="Q85" s="221"/>
      <c r="R85" s="14"/>
      <c r="S85" s="14"/>
      <c r="T85" s="65"/>
      <c r="U85" s="21"/>
      <c r="Y85" s="69"/>
      <c r="Z85" s="228"/>
      <c r="AA85" s="228"/>
      <c r="AB85" s="70"/>
      <c r="AC85" s="71"/>
      <c r="AD85" s="233"/>
      <c r="AE85" s="233"/>
      <c r="AF85" s="47"/>
      <c r="AG85" s="47"/>
      <c r="AH85" s="15"/>
      <c r="AJ85"/>
      <c r="AK85"/>
      <c r="AL85"/>
      <c r="AM85"/>
    </row>
    <row r="86" spans="1:39" s="13" customFormat="1" ht="20.100000000000001" customHeight="1" thickTop="1" thickBot="1">
      <c r="D86" s="47"/>
      <c r="E86" s="16" t="s">
        <v>47</v>
      </c>
      <c r="F86" s="47"/>
      <c r="G86" s="47"/>
      <c r="H86" s="51"/>
      <c r="I86" s="63"/>
      <c r="J86" s="53"/>
      <c r="K86" s="60"/>
      <c r="L86" s="15"/>
      <c r="M86" s="15"/>
      <c r="N86" s="77"/>
      <c r="O86" s="64"/>
      <c r="P86" s="52"/>
      <c r="Q86" s="51"/>
      <c r="R86" s="53"/>
      <c r="S86" s="53"/>
      <c r="T86" s="53"/>
      <c r="U86" s="52"/>
      <c r="V86" s="15"/>
      <c r="W86" s="15"/>
      <c r="X86" s="15"/>
      <c r="Y86" s="69"/>
      <c r="Z86" s="228"/>
      <c r="AA86" s="228"/>
      <c r="AB86" s="70"/>
      <c r="AC86" s="71"/>
      <c r="AD86" s="47"/>
      <c r="AE86" s="47"/>
      <c r="AF86" s="47"/>
      <c r="AG86" s="47"/>
      <c r="AH86" s="15"/>
      <c r="AI86" s="15"/>
    </row>
    <row r="87" spans="1:39" s="13" customFormat="1" ht="20.100000000000001" customHeight="1" thickTop="1" thickBot="1">
      <c r="D87" s="47"/>
      <c r="E87" s="16" t="s">
        <v>41</v>
      </c>
      <c r="F87" s="47"/>
      <c r="G87" s="47"/>
      <c r="H87" s="51"/>
      <c r="I87" s="63"/>
      <c r="J87" s="53"/>
      <c r="K87" s="60"/>
      <c r="L87" s="15"/>
      <c r="M87" s="15"/>
      <c r="N87" s="77"/>
      <c r="O87" s="64"/>
      <c r="P87" s="52"/>
      <c r="Q87" s="51"/>
      <c r="R87" s="53"/>
      <c r="S87" s="53"/>
      <c r="T87" s="53"/>
      <c r="U87" s="52"/>
      <c r="V87" s="15"/>
      <c r="W87" s="15"/>
      <c r="X87" s="15"/>
      <c r="Y87" s="69"/>
      <c r="Z87" s="228"/>
      <c r="AA87" s="228"/>
      <c r="AB87" s="70"/>
      <c r="AC87" s="71"/>
      <c r="AD87" s="47"/>
      <c r="AE87" s="47"/>
      <c r="AF87" s="47"/>
      <c r="AG87" s="47"/>
      <c r="AH87" s="15"/>
      <c r="AI87" s="15"/>
    </row>
    <row r="88" spans="1:39" s="13" customFormat="1" ht="20.100000000000001" customHeight="1" thickTop="1" thickBot="1">
      <c r="D88" s="27"/>
      <c r="E88" s="16" t="s">
        <v>325</v>
      </c>
      <c r="F88" s="27"/>
      <c r="G88" s="27"/>
      <c r="H88" s="29"/>
      <c r="I88" s="64"/>
      <c r="J88" s="14"/>
      <c r="K88" s="16"/>
      <c r="L88" s="15"/>
      <c r="M88" s="15"/>
      <c r="N88" s="77"/>
      <c r="O88" s="27"/>
      <c r="P88" s="57"/>
      <c r="Q88" s="29"/>
      <c r="R88" s="14"/>
      <c r="S88" s="14"/>
      <c r="T88" s="14"/>
      <c r="U88" s="57"/>
      <c r="V88" s="15"/>
      <c r="W88" s="15"/>
      <c r="X88" s="15"/>
      <c r="Y88" s="69"/>
      <c r="Z88" s="228"/>
      <c r="AA88" s="228"/>
      <c r="AB88" s="70"/>
      <c r="AC88" s="71"/>
      <c r="AD88" s="27"/>
      <c r="AE88" s="27"/>
      <c r="AF88" s="47"/>
      <c r="AG88" s="47"/>
      <c r="AH88" s="15"/>
      <c r="AI88" s="15"/>
    </row>
    <row r="89" spans="1:39" ht="19.5" customHeight="1" thickTop="1" thickBot="1">
      <c r="D89" s="27"/>
      <c r="E89" s="16" t="s">
        <v>153</v>
      </c>
      <c r="F89" s="27"/>
      <c r="G89" s="27"/>
      <c r="H89" s="29"/>
      <c r="I89" s="64"/>
      <c r="J89" s="14"/>
      <c r="K89" s="16"/>
      <c r="L89" s="15"/>
      <c r="M89" s="15"/>
      <c r="N89" s="77"/>
      <c r="O89" s="64"/>
      <c r="P89" s="57"/>
      <c r="Q89" s="50"/>
      <c r="R89" s="14"/>
      <c r="S89" s="14"/>
      <c r="T89" s="5"/>
      <c r="U89" s="21"/>
      <c r="Y89" s="69"/>
      <c r="Z89" s="228"/>
      <c r="AA89" s="228"/>
      <c r="AB89" s="70"/>
      <c r="AC89" s="71"/>
      <c r="AD89" s="27"/>
      <c r="AE89" s="27"/>
      <c r="AF89" s="27"/>
      <c r="AG89" s="27"/>
      <c r="AH89" s="15"/>
      <c r="AJ89"/>
      <c r="AK89"/>
      <c r="AL89"/>
      <c r="AM89"/>
    </row>
    <row r="90" spans="1:39" s="13" customFormat="1" ht="20.100000000000001" customHeight="1" thickTop="1" thickBot="1">
      <c r="A90" s="116"/>
      <c r="D90" s="47"/>
      <c r="E90" s="16" t="s">
        <v>178</v>
      </c>
      <c r="F90" s="47"/>
      <c r="G90" s="47"/>
      <c r="H90" s="51"/>
      <c r="I90" s="63"/>
      <c r="J90" s="53"/>
      <c r="K90" s="60"/>
      <c r="L90" s="15"/>
      <c r="M90" s="15"/>
      <c r="N90" s="77"/>
      <c r="O90" s="64"/>
      <c r="P90" s="52"/>
      <c r="Q90" s="51"/>
      <c r="R90" s="53"/>
      <c r="S90" s="53"/>
      <c r="T90" s="53"/>
      <c r="U90" s="52"/>
      <c r="V90" s="15"/>
      <c r="W90" s="15"/>
      <c r="X90" s="15"/>
      <c r="Y90" s="69"/>
      <c r="Z90" s="228"/>
      <c r="AA90" s="228"/>
      <c r="AB90" s="70"/>
      <c r="AC90" s="71"/>
      <c r="AD90" s="47"/>
      <c r="AE90" s="47"/>
      <c r="AF90" s="47"/>
      <c r="AG90" s="47"/>
      <c r="AH90" s="58"/>
      <c r="AI90" s="15"/>
    </row>
    <row r="91" spans="1:39" ht="20.100000000000001" customHeight="1" thickTop="1" thickBot="1">
      <c r="D91" s="27"/>
      <c r="E91" s="16" t="s">
        <v>138</v>
      </c>
      <c r="F91" s="27"/>
      <c r="G91" s="27"/>
      <c r="H91" s="29"/>
      <c r="I91" s="64"/>
      <c r="J91" s="14"/>
      <c r="K91" s="16"/>
      <c r="L91" s="15"/>
      <c r="M91" s="15"/>
      <c r="N91" s="77"/>
      <c r="O91" s="129"/>
      <c r="P91" s="57"/>
      <c r="Q91" s="29"/>
      <c r="R91" s="14"/>
      <c r="S91" s="14"/>
      <c r="T91" s="5"/>
      <c r="U91" s="21"/>
      <c r="Y91" s="69"/>
      <c r="Z91" s="228"/>
      <c r="AA91" s="228"/>
      <c r="AB91" s="70"/>
      <c r="AC91" s="71"/>
      <c r="AD91" s="27"/>
      <c r="AE91" s="27"/>
      <c r="AF91" s="27"/>
      <c r="AG91" s="27"/>
      <c r="AH91" s="15"/>
      <c r="AJ91"/>
      <c r="AK91"/>
      <c r="AL91"/>
      <c r="AM91"/>
    </row>
    <row r="92" spans="1:39" s="13" customFormat="1" ht="20.100000000000001" customHeight="1" thickTop="1" thickBot="1">
      <c r="D92" s="47"/>
      <c r="E92" s="16" t="s">
        <v>73</v>
      </c>
      <c r="F92" s="47"/>
      <c r="G92" s="47"/>
      <c r="H92" s="51"/>
      <c r="I92" s="63"/>
      <c r="J92" s="53"/>
      <c r="K92" s="60"/>
      <c r="L92" s="15"/>
      <c r="M92" s="15"/>
      <c r="N92" s="77"/>
      <c r="O92" s="64"/>
      <c r="P92" s="52"/>
      <c r="Q92" s="51"/>
      <c r="R92" s="53"/>
      <c r="S92" s="53"/>
      <c r="T92" s="53"/>
      <c r="U92" s="52"/>
      <c r="V92" s="15"/>
      <c r="W92" s="15"/>
      <c r="X92" s="15"/>
      <c r="Y92" s="69"/>
      <c r="Z92" s="228"/>
      <c r="AA92" s="228"/>
      <c r="AB92" s="70"/>
      <c r="AC92" s="71"/>
      <c r="AD92" s="47"/>
      <c r="AE92" s="47"/>
      <c r="AF92" s="47"/>
      <c r="AG92" s="47"/>
      <c r="AH92" s="15"/>
      <c r="AI92" s="15"/>
    </row>
    <row r="93" spans="1:39" ht="19.5" customHeight="1" thickTop="1" thickBot="1">
      <c r="D93" s="27"/>
      <c r="E93" s="16" t="s">
        <v>340</v>
      </c>
      <c r="F93" s="27"/>
      <c r="G93" s="27"/>
      <c r="H93" s="29"/>
      <c r="I93" s="64"/>
      <c r="J93" s="14"/>
      <c r="K93" s="16"/>
      <c r="L93" s="15"/>
      <c r="M93" s="15"/>
      <c r="N93" s="77"/>
      <c r="O93" s="64"/>
      <c r="P93" s="57"/>
      <c r="Q93" s="50"/>
      <c r="R93" s="14"/>
      <c r="S93" s="14"/>
      <c r="T93" s="5"/>
      <c r="U93" s="21"/>
      <c r="Y93" s="69"/>
      <c r="Z93" s="228"/>
      <c r="AA93" s="228"/>
      <c r="AB93" s="70"/>
      <c r="AC93" s="71"/>
      <c r="AD93" s="27"/>
      <c r="AE93" s="27"/>
      <c r="AF93" s="47"/>
      <c r="AG93" s="47"/>
      <c r="AH93" s="15"/>
      <c r="AJ93"/>
      <c r="AK93"/>
      <c r="AL93"/>
      <c r="AM93"/>
    </row>
    <row r="94" spans="1:39" ht="19.5" customHeight="1" thickTop="1" thickBot="1">
      <c r="D94" s="27"/>
      <c r="E94" s="16" t="s">
        <v>362</v>
      </c>
      <c r="F94" s="27"/>
      <c r="G94" s="27"/>
      <c r="H94" s="29"/>
      <c r="I94" s="64"/>
      <c r="J94" s="14"/>
      <c r="K94" s="16"/>
      <c r="L94" s="15"/>
      <c r="M94" s="15"/>
      <c r="N94" s="77"/>
      <c r="O94" s="64"/>
      <c r="P94" s="57"/>
      <c r="Q94" s="221"/>
      <c r="R94" s="14"/>
      <c r="S94" s="14"/>
      <c r="T94" s="65"/>
      <c r="U94" s="21"/>
      <c r="Y94" s="69"/>
      <c r="Z94" s="228"/>
      <c r="AA94" s="228"/>
      <c r="AB94" s="70"/>
      <c r="AC94" s="71"/>
      <c r="AD94" s="27"/>
      <c r="AE94" s="27"/>
      <c r="AF94" s="47"/>
      <c r="AG94" s="47"/>
      <c r="AH94" s="15"/>
      <c r="AJ94"/>
      <c r="AK94"/>
      <c r="AL94"/>
      <c r="AM94"/>
    </row>
    <row r="95" spans="1:39" ht="19.5" customHeight="1" thickTop="1" thickBot="1">
      <c r="D95" s="27"/>
      <c r="E95" s="16" t="s">
        <v>364</v>
      </c>
      <c r="F95" s="27"/>
      <c r="G95" s="27"/>
      <c r="H95" s="29"/>
      <c r="I95" s="64"/>
      <c r="J95" s="14"/>
      <c r="K95" s="16"/>
      <c r="L95" s="15"/>
      <c r="M95" s="15"/>
      <c r="N95" s="77"/>
      <c r="O95" s="64"/>
      <c r="P95" s="57"/>
      <c r="Q95" s="221"/>
      <c r="R95" s="14"/>
      <c r="S95" s="14"/>
      <c r="T95" s="65"/>
      <c r="U95" s="21"/>
      <c r="Y95" s="69"/>
      <c r="Z95" s="228"/>
      <c r="AA95" s="228"/>
      <c r="AB95" s="70"/>
      <c r="AC95" s="71"/>
      <c r="AD95" s="27"/>
      <c r="AE95" s="27"/>
      <c r="AF95" s="47"/>
      <c r="AG95" s="47"/>
      <c r="AH95" s="15"/>
      <c r="AJ95"/>
      <c r="AK95"/>
      <c r="AL95"/>
      <c r="AM95"/>
    </row>
    <row r="96" spans="1:39" s="13" customFormat="1" ht="20.100000000000001" customHeight="1" thickTop="1" thickBot="1">
      <c r="A96" s="116"/>
      <c r="D96" s="47"/>
      <c r="E96" s="16"/>
      <c r="F96" s="47"/>
      <c r="G96" s="47"/>
      <c r="H96" s="51"/>
      <c r="I96" s="63"/>
      <c r="J96" s="53"/>
      <c r="K96" s="60"/>
      <c r="L96" s="15"/>
      <c r="M96" s="15"/>
      <c r="N96" s="77"/>
      <c r="O96" s="64"/>
      <c r="P96" s="52"/>
      <c r="Q96" s="51"/>
      <c r="R96" s="53"/>
      <c r="S96" s="53"/>
      <c r="T96" s="53"/>
      <c r="U96" s="52"/>
      <c r="V96" s="15"/>
      <c r="W96" s="15"/>
      <c r="X96" s="15"/>
      <c r="Y96" s="69"/>
      <c r="Z96" s="228"/>
      <c r="AA96" s="228"/>
      <c r="AB96" s="70"/>
      <c r="AC96" s="71"/>
      <c r="AD96" s="47"/>
      <c r="AE96" s="47"/>
      <c r="AF96" s="47"/>
      <c r="AG96" s="47"/>
      <c r="AH96" s="58"/>
      <c r="AI96" s="15"/>
    </row>
    <row r="97" spans="1:39" s="13" customFormat="1" ht="20.100000000000001" customHeight="1" thickTop="1" thickBot="1">
      <c r="D97" s="47"/>
      <c r="E97" s="16"/>
      <c r="F97" s="47"/>
      <c r="G97" s="47"/>
      <c r="H97" s="51"/>
      <c r="I97" s="63"/>
      <c r="J97" s="53"/>
      <c r="K97" s="60"/>
      <c r="L97" s="15"/>
      <c r="M97" s="15"/>
      <c r="N97" s="77"/>
      <c r="O97" s="64"/>
      <c r="P97" s="52"/>
      <c r="Q97" s="51"/>
      <c r="R97" s="53"/>
      <c r="S97" s="53"/>
      <c r="T97" s="53"/>
      <c r="U97" s="52"/>
      <c r="V97" s="15"/>
      <c r="W97" s="15"/>
      <c r="X97" s="15"/>
      <c r="Y97" s="69"/>
      <c r="Z97" s="228"/>
      <c r="AA97" s="228"/>
      <c r="AB97" s="70"/>
      <c r="AC97" s="71"/>
      <c r="AD97" s="47"/>
      <c r="AE97" s="47"/>
      <c r="AF97" s="47"/>
      <c r="AG97" s="47"/>
      <c r="AH97" s="15"/>
      <c r="AI97" s="15"/>
    </row>
    <row r="98" spans="1:39" s="13" customFormat="1" ht="20.100000000000001" customHeight="1" thickTop="1" thickBot="1">
      <c r="D98" s="15"/>
      <c r="E98" s="16"/>
      <c r="F98" s="15"/>
      <c r="G98" s="15"/>
      <c r="J98" s="51"/>
      <c r="K98" s="52"/>
      <c r="L98" s="53"/>
      <c r="M98" s="60"/>
      <c r="N98" s="60"/>
      <c r="O98" s="15"/>
      <c r="P98" s="77"/>
      <c r="Q98" s="64"/>
      <c r="R98" s="52"/>
      <c r="S98" s="51"/>
      <c r="T98" s="53"/>
      <c r="U98" s="53"/>
      <c r="V98" s="53"/>
      <c r="W98" s="52"/>
      <c r="X98" s="15"/>
      <c r="Y98" s="15"/>
      <c r="Z98" s="15"/>
      <c r="AA98" s="69"/>
      <c r="AB98" s="228"/>
      <c r="AC98" s="228"/>
      <c r="AD98" s="70"/>
      <c r="AE98" s="71"/>
      <c r="AF98" s="47"/>
      <c r="AG98" s="47"/>
      <c r="AH98" s="47"/>
      <c r="AI98" s="47"/>
      <c r="AJ98" s="15"/>
      <c r="AK98" s="15"/>
    </row>
    <row r="99" spans="1:39" s="13" customFormat="1" ht="20.100000000000001" customHeight="1" thickTop="1" thickBot="1">
      <c r="D99" s="15"/>
      <c r="E99" s="16"/>
      <c r="F99" s="15"/>
      <c r="G99" s="15"/>
      <c r="H99" s="13">
        <f>SUM(H43:H98)</f>
        <v>100</v>
      </c>
      <c r="J99" s="51"/>
      <c r="K99" s="51"/>
      <c r="L99" s="51"/>
      <c r="M99" s="51"/>
      <c r="N99" s="51"/>
      <c r="O99" s="51"/>
      <c r="P99" s="13">
        <f>SUM(P43:P98)</f>
        <v>1200</v>
      </c>
      <c r="Q99" s="51">
        <f>SUM(O47:O97)</f>
        <v>300</v>
      </c>
      <c r="R99" s="51">
        <f>SUM(P47:P97)</f>
        <v>1200</v>
      </c>
      <c r="S99" s="51">
        <f>SUM(S42:S98)</f>
        <v>0</v>
      </c>
      <c r="T99" s="53"/>
      <c r="U99" s="53"/>
      <c r="V99" s="53"/>
      <c r="W99" s="52"/>
      <c r="X99" s="15"/>
      <c r="Y99" s="15"/>
      <c r="Z99" s="15"/>
      <c r="AA99" s="69"/>
      <c r="AB99" s="228"/>
      <c r="AC99" s="228"/>
      <c r="AD99" s="70"/>
      <c r="AE99" s="71"/>
      <c r="AF99" s="47"/>
      <c r="AG99" s="47"/>
      <c r="AH99" s="47"/>
      <c r="AI99" s="47"/>
      <c r="AJ99" s="15"/>
      <c r="AK99" s="15"/>
    </row>
    <row r="100" spans="1:39" ht="19.5" customHeight="1" thickTop="1" thickBot="1">
      <c r="E100" s="16"/>
      <c r="J100" s="20"/>
      <c r="K100" s="21"/>
      <c r="L100" s="5"/>
      <c r="M100" s="61"/>
      <c r="N100" s="61"/>
      <c r="P100" s="77"/>
      <c r="Q100" s="65"/>
      <c r="R100" s="21"/>
      <c r="S100" s="50"/>
      <c r="T100" s="14"/>
      <c r="U100" s="14"/>
      <c r="V100" s="5"/>
      <c r="W100" s="21"/>
      <c r="AA100" s="69"/>
      <c r="AB100" s="228"/>
      <c r="AC100" s="228"/>
      <c r="AD100" s="70"/>
      <c r="AE100" s="71"/>
      <c r="AF100" s="27"/>
      <c r="AG100" s="27"/>
      <c r="AH100" s="27"/>
      <c r="AI100" s="27"/>
      <c r="AK100" s="2"/>
      <c r="AL100"/>
      <c r="AM100"/>
    </row>
    <row r="101" spans="1:39" s="13" customFormat="1" ht="20.100000000000001" customHeight="1" thickTop="1" thickBot="1">
      <c r="A101" s="116"/>
      <c r="D101" s="15"/>
      <c r="E101" s="16" t="s">
        <v>372</v>
      </c>
      <c r="F101" s="15"/>
      <c r="G101" s="15"/>
      <c r="J101" s="51"/>
      <c r="K101" s="52"/>
      <c r="L101" s="53"/>
      <c r="M101" s="60"/>
      <c r="N101" s="60"/>
      <c r="O101" s="15"/>
      <c r="P101" s="77"/>
      <c r="Q101" s="64"/>
      <c r="R101" s="52"/>
      <c r="S101" s="51"/>
      <c r="T101" s="53"/>
      <c r="U101" s="53"/>
      <c r="V101" s="53"/>
      <c r="W101" s="52"/>
      <c r="X101" s="15"/>
      <c r="Y101" s="15"/>
      <c r="Z101" s="15"/>
      <c r="AA101" s="69"/>
      <c r="AB101" s="228"/>
      <c r="AC101" s="228"/>
      <c r="AD101" s="70"/>
      <c r="AE101" s="71"/>
      <c r="AF101" s="47"/>
      <c r="AG101" s="47"/>
      <c r="AH101" s="47"/>
      <c r="AI101" s="47"/>
      <c r="AJ101" s="58"/>
      <c r="AK101" s="15"/>
    </row>
    <row r="102" spans="1:39" s="13" customFormat="1" ht="20.100000000000001" customHeight="1" thickTop="1" thickBot="1">
      <c r="A102" s="116"/>
      <c r="D102" s="15"/>
      <c r="E102" s="16" t="s">
        <v>8</v>
      </c>
      <c r="F102" s="15"/>
      <c r="G102" s="15"/>
      <c r="J102" s="51"/>
      <c r="K102" s="52"/>
      <c r="L102" s="53"/>
      <c r="M102" s="60"/>
      <c r="N102" s="60"/>
      <c r="O102" s="15"/>
      <c r="P102" s="77"/>
      <c r="Q102" s="64"/>
      <c r="R102" s="52"/>
      <c r="S102" s="51"/>
      <c r="T102" s="53"/>
      <c r="U102" s="53"/>
      <c r="V102" s="53"/>
      <c r="W102" s="52"/>
      <c r="X102" s="15"/>
      <c r="Y102" s="15"/>
      <c r="Z102" s="15"/>
      <c r="AA102" s="69"/>
      <c r="AB102" s="228"/>
      <c r="AC102" s="228"/>
      <c r="AD102" s="70"/>
      <c r="AE102" s="71"/>
      <c r="AF102" s="47"/>
      <c r="AG102" s="47"/>
      <c r="AH102" s="47"/>
      <c r="AI102" s="47"/>
      <c r="AJ102" s="58"/>
      <c r="AK102" s="15"/>
    </row>
    <row r="103" spans="1:39" s="13" customFormat="1" ht="20.100000000000001" customHeight="1" thickTop="1" thickBot="1">
      <c r="A103" s="116"/>
      <c r="D103" s="15"/>
      <c r="E103" s="16" t="s">
        <v>177</v>
      </c>
      <c r="F103" s="15"/>
      <c r="G103" s="15"/>
      <c r="J103" s="51"/>
      <c r="K103" s="52"/>
      <c r="L103" s="53"/>
      <c r="M103" s="60"/>
      <c r="N103" s="60"/>
      <c r="O103" s="15"/>
      <c r="P103" s="77"/>
      <c r="Q103" s="64"/>
      <c r="R103" s="52"/>
      <c r="S103" s="51"/>
      <c r="T103" s="53"/>
      <c r="U103" s="53"/>
      <c r="V103" s="53"/>
      <c r="W103" s="52"/>
      <c r="X103" s="15"/>
      <c r="Y103" s="15"/>
      <c r="Z103" s="15"/>
      <c r="AA103" s="69"/>
      <c r="AB103" s="228"/>
      <c r="AC103" s="228"/>
      <c r="AD103" s="70"/>
      <c r="AE103" s="71"/>
      <c r="AF103" s="47"/>
      <c r="AG103" s="47"/>
      <c r="AH103" s="47"/>
      <c r="AI103" s="47"/>
      <c r="AJ103" s="58"/>
      <c r="AK103" s="15"/>
    </row>
    <row r="104" spans="1:39" s="13" customFormat="1" ht="20.100000000000001" customHeight="1" thickTop="1" thickBot="1">
      <c r="A104" s="116"/>
      <c r="D104" s="223"/>
      <c r="E104" s="117" t="s">
        <v>1</v>
      </c>
      <c r="F104" s="223"/>
      <c r="G104" s="223"/>
      <c r="J104" s="118"/>
      <c r="K104" s="119"/>
      <c r="L104" s="120"/>
      <c r="M104" s="121"/>
      <c r="N104" s="121"/>
      <c r="O104" s="223"/>
      <c r="P104" s="122"/>
      <c r="Q104" s="123"/>
      <c r="R104" s="119"/>
      <c r="S104" s="118"/>
      <c r="T104" s="120"/>
      <c r="U104" s="120"/>
      <c r="V104" s="120"/>
      <c r="W104" s="119"/>
      <c r="X104" s="223"/>
      <c r="Y104" s="223"/>
      <c r="Z104" s="223"/>
      <c r="AA104" s="124"/>
      <c r="AB104" s="231"/>
      <c r="AC104" s="231"/>
      <c r="AD104" s="125"/>
      <c r="AE104" s="126"/>
      <c r="AF104" s="127"/>
      <c r="AG104" s="127"/>
      <c r="AH104" s="127"/>
      <c r="AI104" s="127"/>
      <c r="AJ104" s="128"/>
      <c r="AK104" s="15"/>
    </row>
    <row r="105" spans="1:39" s="13" customFormat="1" ht="20.100000000000001" customHeight="1" thickTop="1" thickBot="1">
      <c r="A105" s="116"/>
      <c r="D105" s="15"/>
      <c r="E105" s="16" t="s">
        <v>179</v>
      </c>
      <c r="F105" s="15"/>
      <c r="G105" s="15"/>
      <c r="J105" s="51"/>
      <c r="K105" s="52"/>
      <c r="L105" s="53"/>
      <c r="M105" s="60"/>
      <c r="N105" s="60"/>
      <c r="O105" s="15"/>
      <c r="P105" s="77"/>
      <c r="Q105" s="64"/>
      <c r="R105" s="52"/>
      <c r="S105" s="51"/>
      <c r="T105" s="53"/>
      <c r="U105" s="53"/>
      <c r="V105" s="53"/>
      <c r="W105" s="52"/>
      <c r="X105" s="15"/>
      <c r="Y105" s="15"/>
      <c r="Z105" s="15"/>
      <c r="AA105" s="69"/>
      <c r="AB105" s="228"/>
      <c r="AC105" s="228"/>
      <c r="AD105" s="70"/>
      <c r="AE105" s="71"/>
      <c r="AF105" s="47"/>
      <c r="AG105" s="47"/>
      <c r="AH105" s="47"/>
      <c r="AI105" s="47"/>
      <c r="AJ105" s="58"/>
      <c r="AK105" s="15"/>
    </row>
    <row r="106" spans="1:39" s="13" customFormat="1" ht="20.100000000000001" customHeight="1" thickTop="1" thickBot="1">
      <c r="A106" s="116"/>
      <c r="D106" s="15"/>
      <c r="E106" s="16" t="s">
        <v>0</v>
      </c>
      <c r="F106" s="15"/>
      <c r="G106" s="15"/>
      <c r="J106" s="51"/>
      <c r="K106" s="52"/>
      <c r="L106" s="53"/>
      <c r="M106" s="60"/>
      <c r="N106" s="60"/>
      <c r="O106" s="15"/>
      <c r="P106" s="77"/>
      <c r="Q106" s="63"/>
      <c r="R106" s="52"/>
      <c r="S106" s="51"/>
      <c r="T106" s="53"/>
      <c r="U106" s="53"/>
      <c r="V106" s="53"/>
      <c r="W106" s="52"/>
      <c r="X106" s="15"/>
      <c r="Y106" s="15"/>
      <c r="Z106" s="15"/>
      <c r="AA106" s="69"/>
      <c r="AB106" s="228"/>
      <c r="AC106" s="228"/>
      <c r="AD106" s="70"/>
      <c r="AE106" s="71"/>
      <c r="AF106" s="47"/>
      <c r="AG106" s="47"/>
      <c r="AH106" s="47"/>
      <c r="AI106" s="47"/>
      <c r="AJ106" s="58"/>
      <c r="AK106" s="15"/>
    </row>
    <row r="107" spans="1:39" s="13" customFormat="1" ht="20.100000000000001" customHeight="1" thickTop="1" thickBot="1">
      <c r="A107" s="116"/>
      <c r="D107" s="15"/>
      <c r="E107" s="16" t="s">
        <v>184</v>
      </c>
      <c r="F107" s="15"/>
      <c r="G107" s="15"/>
      <c r="J107" s="51"/>
      <c r="K107" s="52"/>
      <c r="L107" s="53"/>
      <c r="M107" s="60"/>
      <c r="N107" s="60"/>
      <c r="O107" s="15"/>
      <c r="P107" s="77"/>
      <c r="Q107" s="64"/>
      <c r="R107" s="52"/>
      <c r="S107" s="51"/>
      <c r="T107" s="53"/>
      <c r="U107" s="53"/>
      <c r="V107" s="53"/>
      <c r="W107" s="52"/>
      <c r="X107" s="15"/>
      <c r="Y107" s="15"/>
      <c r="Z107" s="15"/>
      <c r="AA107" s="69"/>
      <c r="AB107" s="228"/>
      <c r="AC107" s="228"/>
      <c r="AD107" s="70"/>
      <c r="AE107" s="71"/>
      <c r="AF107" s="47"/>
      <c r="AG107" s="47"/>
      <c r="AH107" s="47"/>
      <c r="AI107" s="47"/>
      <c r="AJ107" s="58"/>
      <c r="AK107" s="15"/>
    </row>
    <row r="108" spans="1:39" s="2" customFormat="1" ht="17.25" thickTop="1">
      <c r="A108"/>
      <c r="B108"/>
      <c r="C108"/>
      <c r="D108" s="15"/>
      <c r="E108" s="159" t="s">
        <v>349</v>
      </c>
      <c r="F108" s="15"/>
      <c r="G108" s="15"/>
      <c r="T108" s="15"/>
      <c r="U108" s="15"/>
      <c r="AK108" s="15"/>
    </row>
    <row r="109" spans="1:39" s="2" customFormat="1">
      <c r="A109"/>
      <c r="B109"/>
      <c r="C109"/>
      <c r="T109" s="15"/>
      <c r="U109" s="15"/>
      <c r="AK109" s="15"/>
    </row>
    <row r="110" spans="1:39" s="2" customFormat="1">
      <c r="A110"/>
      <c r="B110"/>
      <c r="C110"/>
      <c r="T110" s="15"/>
      <c r="U110" s="15"/>
      <c r="AK110" s="15"/>
    </row>
    <row r="111" spans="1:39" s="2" customFormat="1">
      <c r="A111"/>
      <c r="B111"/>
      <c r="C111"/>
      <c r="T111" s="15"/>
      <c r="U111" s="15"/>
      <c r="AK111" s="15"/>
    </row>
    <row r="112" spans="1:39" s="2" customFormat="1">
      <c r="A112"/>
      <c r="B112"/>
      <c r="C112"/>
      <c r="T112" s="15"/>
      <c r="U112" s="15"/>
      <c r="AK112" s="15"/>
    </row>
    <row r="113" spans="1:37" s="2" customFormat="1">
      <c r="A113"/>
      <c r="B113"/>
      <c r="C113"/>
      <c r="T113" s="15"/>
      <c r="U113" s="15"/>
      <c r="AK113" s="15"/>
    </row>
    <row r="114" spans="1:37" s="2" customFormat="1">
      <c r="A114"/>
      <c r="B114"/>
      <c r="C114"/>
      <c r="D114" s="15"/>
      <c r="E114" s="15" t="s">
        <v>125</v>
      </c>
      <c r="F114" s="15"/>
      <c r="G114" s="15"/>
      <c r="L114" s="2">
        <f>AJ114/1.1</f>
        <v>58799.999999999993</v>
      </c>
      <c r="N114" s="40"/>
      <c r="O114" s="40"/>
      <c r="P114" s="15"/>
      <c r="T114" s="15"/>
      <c r="U114" s="15"/>
      <c r="AF114" s="15"/>
      <c r="AG114" s="15"/>
      <c r="AJ114" s="15">
        <v>64680</v>
      </c>
      <c r="AK114" s="15"/>
    </row>
    <row r="115" spans="1:37" s="2" customFormat="1">
      <c r="A115"/>
      <c r="B115"/>
      <c r="C115"/>
      <c r="D115" s="15"/>
      <c r="E115" s="15" t="s">
        <v>49</v>
      </c>
      <c r="F115" s="15"/>
      <c r="G115" s="15"/>
      <c r="N115" s="40"/>
      <c r="O115" s="40"/>
      <c r="P115" s="15"/>
      <c r="T115" s="15"/>
      <c r="U115" s="15"/>
      <c r="V115" s="15" t="s">
        <v>174</v>
      </c>
      <c r="AF115" s="15"/>
      <c r="AG115" s="15"/>
      <c r="AJ115" s="15"/>
      <c r="AK115" s="15"/>
    </row>
    <row r="117" spans="1:37" s="2" customFormat="1">
      <c r="A117"/>
      <c r="B117"/>
      <c r="C117"/>
      <c r="D117" s="15"/>
      <c r="E117" s="15"/>
      <c r="F117" s="15"/>
      <c r="G117" s="15"/>
      <c r="P117" s="15"/>
      <c r="T117" s="15"/>
      <c r="U117" s="15"/>
      <c r="AF117" s="15"/>
      <c r="AG117" s="15"/>
      <c r="AJ117" s="15"/>
      <c r="AK117" s="15"/>
    </row>
    <row r="118" spans="1:37" s="2" customFormat="1">
      <c r="A118"/>
      <c r="B118"/>
      <c r="C118"/>
      <c r="D118" s="15"/>
      <c r="E118" s="15" t="s">
        <v>134</v>
      </c>
      <c r="F118" s="15"/>
      <c r="G118" s="15"/>
      <c r="P118" s="15"/>
      <c r="T118" s="15"/>
      <c r="U118" s="15"/>
      <c r="AF118" s="15"/>
      <c r="AG118" s="15"/>
      <c r="AJ118" s="15"/>
      <c r="AK118" s="15"/>
    </row>
    <row r="119" spans="1:37" s="2" customFormat="1">
      <c r="A119"/>
      <c r="B119"/>
      <c r="C119"/>
      <c r="D119" s="15"/>
      <c r="E119" s="15" t="s">
        <v>135</v>
      </c>
      <c r="F119" s="15"/>
      <c r="G119" s="15"/>
      <c r="P119" s="15"/>
      <c r="T119" s="15"/>
      <c r="U119" s="15"/>
      <c r="AF119" s="15"/>
      <c r="AG119" s="15"/>
      <c r="AJ119" s="15"/>
      <c r="AK119" s="15"/>
    </row>
    <row r="120" spans="1:37" s="2" customFormat="1">
      <c r="A120"/>
      <c r="B120"/>
      <c r="C120"/>
      <c r="D120" s="15"/>
      <c r="E120" s="15"/>
      <c r="F120" s="15"/>
      <c r="G120" s="15"/>
      <c r="L120" s="40"/>
      <c r="M120" s="40"/>
      <c r="P120" s="15"/>
      <c r="T120" s="15"/>
      <c r="U120" s="15"/>
      <c r="AF120" s="15"/>
      <c r="AG120" s="15"/>
      <c r="AJ120" s="15"/>
      <c r="AK120" s="15"/>
    </row>
    <row r="121" spans="1:37" s="2" customFormat="1">
      <c r="A121"/>
      <c r="B121"/>
      <c r="C121"/>
      <c r="D121" s="15"/>
      <c r="E121" s="15" t="s">
        <v>69</v>
      </c>
      <c r="F121" s="15"/>
      <c r="G121" s="15"/>
      <c r="P121" s="15"/>
      <c r="T121" s="15"/>
      <c r="U121" s="15"/>
      <c r="AF121" s="15"/>
      <c r="AG121" s="15"/>
      <c r="AJ121" s="15"/>
      <c r="AK121" s="15"/>
    </row>
    <row r="122" spans="1:37" s="2" customFormat="1">
      <c r="A122"/>
      <c r="B122"/>
      <c r="C122"/>
      <c r="D122" s="15"/>
      <c r="E122" s="15"/>
      <c r="F122" s="15"/>
      <c r="G122" s="15"/>
      <c r="L122" s="41"/>
      <c r="M122" s="41"/>
      <c r="P122" s="15"/>
      <c r="T122" s="15"/>
      <c r="U122" s="15"/>
      <c r="AF122" s="15"/>
      <c r="AG122" s="15"/>
      <c r="AJ122" s="15"/>
      <c r="AK122" s="15"/>
    </row>
    <row r="123" spans="1:37" s="2" customFormat="1">
      <c r="A123"/>
      <c r="B123"/>
      <c r="C123"/>
      <c r="D123" s="15"/>
      <c r="E123" s="15"/>
      <c r="F123" s="15"/>
      <c r="G123" s="15"/>
      <c r="P123" s="15"/>
      <c r="T123" s="15"/>
      <c r="U123" s="15"/>
      <c r="AF123" s="15"/>
      <c r="AG123" s="15"/>
      <c r="AJ123" s="15"/>
      <c r="AK123" s="15"/>
    </row>
    <row r="124" spans="1:37" s="2" customFormat="1">
      <c r="A124"/>
      <c r="B124"/>
      <c r="C124"/>
      <c r="D124" s="15"/>
      <c r="E124" s="15" t="s">
        <v>133</v>
      </c>
      <c r="F124" s="15"/>
      <c r="G124" s="15"/>
      <c r="P124" s="15"/>
      <c r="T124" s="15"/>
      <c r="U124" s="15"/>
      <c r="AF124" s="15"/>
      <c r="AG124" s="15"/>
      <c r="AJ124" s="15"/>
      <c r="AK124" s="15"/>
    </row>
    <row r="125" spans="1:37" s="2" customFormat="1">
      <c r="A125"/>
      <c r="B125"/>
      <c r="C125"/>
      <c r="D125" s="15"/>
      <c r="E125" s="15" t="s">
        <v>131</v>
      </c>
      <c r="F125" s="15"/>
      <c r="G125" s="15"/>
      <c r="P125" s="15"/>
      <c r="T125" s="15"/>
      <c r="U125" s="15"/>
      <c r="AF125" s="15"/>
      <c r="AG125" s="15"/>
      <c r="AJ125" s="15"/>
      <c r="AK125" s="15"/>
    </row>
    <row r="126" spans="1:37" s="2" customFormat="1">
      <c r="A126"/>
      <c r="B126"/>
      <c r="C126"/>
      <c r="D126" s="15"/>
      <c r="E126" s="15" t="s">
        <v>132</v>
      </c>
      <c r="F126" s="15"/>
      <c r="G126" s="15"/>
      <c r="P126" s="15"/>
      <c r="T126" s="15"/>
      <c r="U126" s="15"/>
      <c r="AF126" s="15"/>
      <c r="AG126" s="15"/>
      <c r="AJ126" s="15"/>
      <c r="AK126" s="15"/>
    </row>
    <row r="127" spans="1:37" s="2" customFormat="1">
      <c r="A127"/>
      <c r="B127"/>
      <c r="C127"/>
      <c r="D127" s="15"/>
      <c r="E127" s="15"/>
      <c r="F127" s="15"/>
      <c r="G127" s="15"/>
      <c r="L127" s="42"/>
      <c r="M127" s="42"/>
      <c r="P127" s="15"/>
      <c r="T127" s="15"/>
      <c r="U127" s="15"/>
      <c r="AF127" s="15"/>
      <c r="AG127" s="15"/>
      <c r="AJ127" s="15"/>
      <c r="AK127" s="15"/>
    </row>
  </sheetData>
  <phoneticPr fontId="1" type="noConversion"/>
  <hyperlinks>
    <hyperlink ref="F18" r:id="rId1" xr:uid="{1E85D190-E1DE-484D-B2BA-DDEE66824F0F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D995-56C7-4398-B8DA-56914A540152}">
  <dimension ref="A1:AM114"/>
  <sheetViews>
    <sheetView topLeftCell="D1" zoomScale="85" zoomScaleNormal="85" workbookViewId="0">
      <pane ySplit="3" topLeftCell="A15" activePane="bottomLeft" state="frozen"/>
      <selection activeCell="D1" sqref="D1"/>
      <selection pane="bottomLeft" activeCell="F45" sqref="F45"/>
    </sheetView>
  </sheetViews>
  <sheetFormatPr defaultRowHeight="16.5"/>
  <cols>
    <col min="1" max="1" width="7.375" bestFit="1" customWidth="1"/>
    <col min="2" max="2" width="9.875" customWidth="1"/>
    <col min="3" max="3" width="7.375" customWidth="1"/>
    <col min="4" max="4" width="20.25" style="15" customWidth="1"/>
    <col min="5" max="5" width="20.25" style="15" bestFit="1" customWidth="1"/>
    <col min="6" max="6" width="13.875" style="15" customWidth="1"/>
    <col min="7" max="7" width="20.25" style="15" customWidth="1"/>
    <col min="8" max="11" width="9" customWidth="1"/>
    <col min="12" max="13" width="12.5" style="2" customWidth="1"/>
    <col min="14" max="15" width="10.875" style="2" customWidth="1"/>
    <col min="16" max="16" width="8.875" style="15" customWidth="1"/>
    <col min="17" max="17" width="13.5" style="2" customWidth="1"/>
    <col min="18" max="18" width="9.25" style="2" customWidth="1"/>
    <col min="19" max="19" width="10" style="2" customWidth="1"/>
    <col min="20" max="20" width="8.25" style="15" bestFit="1" customWidth="1"/>
    <col min="21" max="21" width="8.25" style="15" customWidth="1"/>
    <col min="22" max="30" width="9" style="2"/>
    <col min="31" max="31" width="30.625" style="2" customWidth="1"/>
    <col min="32" max="33" width="20.25" style="15" customWidth="1"/>
    <col min="34" max="34" width="9" style="2" customWidth="1"/>
    <col min="35" max="35" width="9" style="2"/>
    <col min="36" max="37" width="15.125" style="15" customWidth="1"/>
    <col min="38" max="38" width="9" style="2" customWidth="1"/>
    <col min="39" max="39" width="9" style="2"/>
  </cols>
  <sheetData>
    <row r="1" spans="1:39">
      <c r="H1" s="2"/>
      <c r="I1" s="2"/>
      <c r="J1" s="2"/>
      <c r="K1" s="2"/>
      <c r="N1" s="15"/>
      <c r="P1" s="2"/>
      <c r="R1" s="15"/>
      <c r="S1" s="15"/>
      <c r="T1" s="2"/>
      <c r="U1" s="2"/>
      <c r="AD1" s="15"/>
      <c r="AE1" s="15"/>
      <c r="AJ1"/>
      <c r="AK1"/>
      <c r="AL1"/>
      <c r="AM1"/>
    </row>
    <row r="2" spans="1:39" ht="17.25" thickBot="1">
      <c r="H2" s="2"/>
      <c r="I2" s="2"/>
      <c r="J2" s="2"/>
      <c r="K2" s="2"/>
      <c r="N2" s="15"/>
      <c r="P2" s="2"/>
      <c r="R2" s="15"/>
      <c r="S2" s="15"/>
      <c r="T2" s="2"/>
      <c r="U2" s="2"/>
      <c r="AD2" s="15"/>
      <c r="AE2" s="15"/>
      <c r="AJ2"/>
      <c r="AK2"/>
      <c r="AL2"/>
      <c r="AM2"/>
    </row>
    <row r="3" spans="1:39" s="13" customFormat="1" ht="23.25" customHeight="1" thickBot="1">
      <c r="A3" s="115" t="s">
        <v>200</v>
      </c>
      <c r="B3" s="114"/>
      <c r="C3" s="114">
        <v>251104</v>
      </c>
      <c r="D3" s="75" t="s">
        <v>427</v>
      </c>
      <c r="E3" s="59" t="s">
        <v>198</v>
      </c>
      <c r="F3" s="75" t="s">
        <v>426</v>
      </c>
      <c r="G3" s="75" t="s">
        <v>427</v>
      </c>
      <c r="H3" s="17" t="s">
        <v>75</v>
      </c>
      <c r="I3" s="62" t="s">
        <v>438</v>
      </c>
      <c r="J3" s="18" t="s">
        <v>72</v>
      </c>
      <c r="K3" s="59" t="s">
        <v>74</v>
      </c>
      <c r="L3" s="222" t="s">
        <v>371</v>
      </c>
      <c r="M3" s="222" t="s">
        <v>369</v>
      </c>
      <c r="N3" s="76" t="s">
        <v>190</v>
      </c>
      <c r="O3" s="62" t="s">
        <v>156</v>
      </c>
      <c r="P3" s="19" t="s">
        <v>121</v>
      </c>
      <c r="Q3" s="54" t="s">
        <v>54</v>
      </c>
      <c r="R3" s="202" t="s">
        <v>116</v>
      </c>
      <c r="S3" s="202" t="s">
        <v>339</v>
      </c>
      <c r="T3" s="55" t="s">
        <v>189</v>
      </c>
      <c r="U3" s="56" t="s">
        <v>53</v>
      </c>
      <c r="V3" s="225" t="s">
        <v>370</v>
      </c>
      <c r="W3" s="225" t="s">
        <v>373</v>
      </c>
      <c r="X3" s="225" t="s">
        <v>374</v>
      </c>
      <c r="Y3" s="66" t="s">
        <v>195</v>
      </c>
      <c r="Z3" s="227" t="s">
        <v>375</v>
      </c>
      <c r="AA3" s="227" t="s">
        <v>376</v>
      </c>
      <c r="AB3" s="67" t="s">
        <v>196</v>
      </c>
      <c r="AC3" s="68" t="s">
        <v>197</v>
      </c>
      <c r="AD3" s="75" t="s">
        <v>378</v>
      </c>
      <c r="AE3" s="75" t="s">
        <v>361</v>
      </c>
      <c r="AF3" s="75" t="s">
        <v>159</v>
      </c>
      <c r="AG3" s="75" t="s">
        <v>11</v>
      </c>
      <c r="AH3" s="19" t="s">
        <v>199</v>
      </c>
      <c r="AI3" s="15"/>
    </row>
    <row r="4" spans="1:39" s="13" customFormat="1" ht="23.25" customHeight="1" thickTop="1" thickBot="1">
      <c r="A4" s="115"/>
      <c r="D4" s="15">
        <v>2064392403</v>
      </c>
      <c r="E4" s="13" t="s">
        <v>419</v>
      </c>
      <c r="F4" s="13" t="s">
        <v>420</v>
      </c>
      <c r="G4" s="15">
        <v>2064392403</v>
      </c>
      <c r="H4" s="16">
        <v>200</v>
      </c>
      <c r="I4" s="47"/>
      <c r="J4" s="47"/>
      <c r="K4" s="51"/>
      <c r="L4" s="15"/>
      <c r="M4" s="15"/>
      <c r="N4" s="78">
        <v>100</v>
      </c>
      <c r="O4" s="64"/>
      <c r="P4" s="57">
        <v>100</v>
      </c>
      <c r="Q4" s="214"/>
      <c r="R4" s="215"/>
      <c r="S4" s="216"/>
      <c r="T4" s="217"/>
      <c r="U4" s="218"/>
      <c r="V4" s="226"/>
      <c r="W4" s="226"/>
      <c r="X4" s="226"/>
      <c r="Y4" s="69"/>
      <c r="Z4" s="228"/>
      <c r="AA4" s="228"/>
      <c r="AB4" s="70"/>
      <c r="AC4" s="71"/>
      <c r="AD4" s="27"/>
      <c r="AE4" s="27"/>
      <c r="AF4" s="47"/>
      <c r="AG4" s="47"/>
      <c r="AH4" s="58"/>
      <c r="AI4" s="15"/>
    </row>
    <row r="5" spans="1:39" s="13" customFormat="1" ht="23.25" customHeight="1" thickTop="1" thickBot="1">
      <c r="A5" s="115"/>
      <c r="D5" s="15"/>
      <c r="G5" s="15"/>
      <c r="H5" s="16"/>
      <c r="I5" s="47"/>
      <c r="J5" s="47"/>
      <c r="K5" s="51"/>
      <c r="L5" s="15"/>
      <c r="M5" s="15"/>
      <c r="N5" s="78"/>
      <c r="O5" s="64"/>
      <c r="P5" s="57"/>
      <c r="Q5" s="214"/>
      <c r="R5" s="215"/>
      <c r="S5" s="216"/>
      <c r="T5" s="217"/>
      <c r="U5" s="218"/>
      <c r="V5" s="226"/>
      <c r="W5" s="226"/>
      <c r="X5" s="226"/>
      <c r="Y5" s="69"/>
      <c r="Z5" s="228"/>
      <c r="AA5" s="228"/>
      <c r="AB5" s="70"/>
      <c r="AC5" s="71"/>
      <c r="AD5" s="27"/>
      <c r="AE5" s="27"/>
      <c r="AF5" s="47"/>
      <c r="AG5" s="47"/>
      <c r="AH5" s="58"/>
      <c r="AI5" s="15"/>
    </row>
    <row r="6" spans="1:39" ht="17.25" thickTop="1">
      <c r="D6" s="15">
        <v>1282597447</v>
      </c>
      <c r="E6" s="13" t="s">
        <v>417</v>
      </c>
      <c r="F6" s="13" t="s">
        <v>418</v>
      </c>
      <c r="G6" s="15">
        <v>1282597447</v>
      </c>
      <c r="H6" s="16"/>
      <c r="I6" s="47"/>
      <c r="J6" s="47">
        <v>150</v>
      </c>
      <c r="K6" s="51"/>
      <c r="M6" s="2">
        <v>100</v>
      </c>
      <c r="N6" s="15"/>
      <c r="O6" s="2">
        <v>100</v>
      </c>
      <c r="P6" s="2"/>
      <c r="R6" s="15"/>
      <c r="S6" s="15"/>
      <c r="T6" s="2"/>
      <c r="U6" s="2"/>
      <c r="AD6" s="15"/>
      <c r="AE6" s="15"/>
      <c r="AF6" s="2"/>
      <c r="AG6" s="2"/>
      <c r="AH6" s="15"/>
      <c r="AI6" s="15"/>
      <c r="AJ6" s="2"/>
      <c r="AK6" s="2"/>
      <c r="AL6"/>
      <c r="AM6"/>
    </row>
    <row r="7" spans="1:39" s="13" customFormat="1" ht="20.100000000000001" customHeight="1" thickBot="1">
      <c r="D7" s="15">
        <v>1108685948</v>
      </c>
      <c r="E7" s="13" t="s">
        <v>415</v>
      </c>
      <c r="F7" s="13" t="s">
        <v>416</v>
      </c>
      <c r="G7" s="15">
        <v>1108685948</v>
      </c>
      <c r="H7" s="16"/>
      <c r="I7" s="47"/>
      <c r="J7" s="47">
        <v>100</v>
      </c>
      <c r="K7" s="51"/>
      <c r="L7" s="15"/>
      <c r="M7" s="15">
        <v>100</v>
      </c>
      <c r="N7" s="83"/>
      <c r="O7" s="64">
        <v>100</v>
      </c>
      <c r="P7" s="57">
        <v>50</v>
      </c>
      <c r="Q7" s="29"/>
      <c r="R7" s="14" t="s">
        <v>62</v>
      </c>
      <c r="S7" s="14"/>
      <c r="T7" s="14"/>
      <c r="U7" s="57"/>
      <c r="V7" s="15"/>
      <c r="W7" s="15"/>
      <c r="X7" s="15"/>
      <c r="Y7" s="69"/>
      <c r="Z7" s="228"/>
      <c r="AA7" s="228"/>
      <c r="AB7" s="70"/>
      <c r="AC7" s="71"/>
      <c r="AD7" s="27"/>
      <c r="AE7" s="27"/>
      <c r="AF7" s="47"/>
      <c r="AG7" s="47"/>
      <c r="AH7" s="15"/>
      <c r="AI7" s="15"/>
    </row>
    <row r="8" spans="1:39" s="13" customFormat="1" ht="20.100000000000001" customHeight="1" thickTop="1" thickBot="1">
      <c r="A8" s="116"/>
      <c r="D8" s="15">
        <v>2022575390</v>
      </c>
      <c r="E8" s="13" t="s">
        <v>413</v>
      </c>
      <c r="F8" s="13" t="s">
        <v>414</v>
      </c>
      <c r="G8" s="15">
        <v>2022575390</v>
      </c>
      <c r="H8" s="16"/>
      <c r="I8" s="47"/>
      <c r="J8" s="47"/>
      <c r="K8" s="51"/>
      <c r="L8" s="15">
        <v>100</v>
      </c>
      <c r="M8" s="15">
        <v>100</v>
      </c>
      <c r="N8" s="77"/>
      <c r="O8" s="64">
        <v>100</v>
      </c>
      <c r="P8" s="52"/>
      <c r="Q8" s="51"/>
      <c r="R8" s="53" t="s">
        <v>117</v>
      </c>
      <c r="S8" s="53"/>
      <c r="T8" s="53"/>
      <c r="U8" s="52"/>
      <c r="V8" s="15"/>
      <c r="W8" s="15"/>
      <c r="X8" s="15"/>
      <c r="Y8" s="69"/>
      <c r="Z8" s="228"/>
      <c r="AA8" s="228"/>
      <c r="AB8" s="70"/>
      <c r="AC8" s="71"/>
      <c r="AD8" s="47"/>
      <c r="AE8" s="47"/>
      <c r="AF8" s="47"/>
      <c r="AG8" s="47"/>
      <c r="AH8" s="58"/>
      <c r="AI8" s="15"/>
    </row>
    <row r="9" spans="1:39" s="13" customFormat="1" ht="20.100000000000001" customHeight="1" thickTop="1">
      <c r="D9" s="15"/>
      <c r="G9" s="15"/>
      <c r="H9" s="16"/>
      <c r="I9" s="47"/>
      <c r="J9" s="47"/>
      <c r="K9" s="51"/>
      <c r="L9" s="15"/>
      <c r="M9" s="15"/>
      <c r="N9" s="83"/>
      <c r="O9" s="64"/>
      <c r="P9" s="57"/>
      <c r="Q9" s="213"/>
      <c r="R9" s="14"/>
      <c r="S9" s="14"/>
      <c r="T9" s="64"/>
      <c r="U9" s="57"/>
      <c r="V9" s="15"/>
      <c r="W9" s="15"/>
      <c r="X9" s="15"/>
      <c r="Y9" s="69"/>
      <c r="Z9" s="228"/>
      <c r="AA9" s="228"/>
      <c r="AB9" s="70"/>
      <c r="AC9" s="71"/>
      <c r="AD9" s="27"/>
      <c r="AE9" s="27"/>
      <c r="AF9" s="47"/>
      <c r="AG9" s="47"/>
      <c r="AH9" s="15"/>
      <c r="AI9" s="15"/>
    </row>
    <row r="10" spans="1:39" s="13" customFormat="1" ht="23.25" customHeight="1" thickBot="1">
      <c r="A10" s="115"/>
      <c r="D10" s="15"/>
      <c r="E10" s="13" t="s">
        <v>346</v>
      </c>
      <c r="G10" s="15"/>
      <c r="H10" s="16">
        <v>50</v>
      </c>
      <c r="I10" s="47"/>
      <c r="J10" s="47"/>
      <c r="K10" s="51"/>
      <c r="L10" s="15"/>
      <c r="M10" s="15"/>
      <c r="N10" s="78"/>
      <c r="O10" s="64"/>
      <c r="P10" s="57"/>
      <c r="Q10" s="214"/>
      <c r="R10" s="215"/>
      <c r="S10" s="216"/>
      <c r="T10" s="217"/>
      <c r="U10" s="218"/>
      <c r="V10" s="226"/>
      <c r="W10" s="226"/>
      <c r="X10" s="226"/>
      <c r="Y10" s="69"/>
      <c r="Z10" s="228"/>
      <c r="AA10" s="228"/>
      <c r="AB10" s="70"/>
      <c r="AC10" s="71"/>
      <c r="AD10" s="27"/>
      <c r="AE10" s="27"/>
      <c r="AF10" s="47"/>
      <c r="AG10" s="47"/>
      <c r="AH10" s="58"/>
      <c r="AI10" s="15"/>
    </row>
    <row r="11" spans="1:39" s="13" customFormat="1" ht="23.25" customHeight="1" thickTop="1" thickBot="1">
      <c r="A11" s="115"/>
      <c r="D11" s="15"/>
      <c r="E11" s="13" t="s">
        <v>347</v>
      </c>
      <c r="G11" s="15"/>
      <c r="H11" s="16">
        <v>50</v>
      </c>
      <c r="I11" s="47"/>
      <c r="J11" s="47"/>
      <c r="K11" s="51"/>
      <c r="L11" s="15"/>
      <c r="M11" s="15"/>
      <c r="N11" s="78"/>
      <c r="O11" s="64"/>
      <c r="P11" s="57"/>
      <c r="Q11" s="214"/>
      <c r="R11" s="215"/>
      <c r="S11" s="216"/>
      <c r="T11" s="217"/>
      <c r="U11" s="218"/>
      <c r="V11" s="226"/>
      <c r="W11" s="226"/>
      <c r="X11" s="226"/>
      <c r="Y11" s="69"/>
      <c r="Z11" s="228"/>
      <c r="AA11" s="228"/>
      <c r="AB11" s="70"/>
      <c r="AC11" s="71"/>
      <c r="AD11" s="27"/>
      <c r="AE11" s="27"/>
      <c r="AF11" s="47"/>
      <c r="AG11" s="47"/>
      <c r="AH11" s="58"/>
      <c r="AI11" s="15"/>
    </row>
    <row r="12" spans="1:39" s="13" customFormat="1" ht="20.100000000000001" customHeight="1" thickTop="1" thickBot="1">
      <c r="A12" s="116"/>
      <c r="D12" s="15">
        <v>1768171911</v>
      </c>
      <c r="E12" s="13" t="s">
        <v>411</v>
      </c>
      <c r="F12" s="13" t="s">
        <v>412</v>
      </c>
      <c r="G12" s="15">
        <v>1768171911</v>
      </c>
      <c r="H12" s="16"/>
      <c r="I12" s="47"/>
      <c r="J12" s="47"/>
      <c r="K12" s="51"/>
      <c r="L12" s="15"/>
      <c r="M12" s="15"/>
      <c r="N12" s="77">
        <v>100</v>
      </c>
      <c r="O12" s="64"/>
      <c r="P12" s="52">
        <v>100</v>
      </c>
      <c r="Q12" s="51"/>
      <c r="R12" s="53"/>
      <c r="S12" s="53"/>
      <c r="T12" s="53"/>
      <c r="U12" s="52"/>
      <c r="V12" s="15"/>
      <c r="W12" s="15"/>
      <c r="X12" s="15"/>
      <c r="Y12" s="69"/>
      <c r="Z12" s="228"/>
      <c r="AA12" s="228"/>
      <c r="AB12" s="70"/>
      <c r="AC12" s="71"/>
      <c r="AD12" s="47"/>
      <c r="AE12" s="47"/>
      <c r="AF12" s="47"/>
      <c r="AG12" s="47"/>
      <c r="AH12" s="58"/>
      <c r="AI12" s="15"/>
    </row>
    <row r="13" spans="1:39" s="13" customFormat="1" ht="20.100000000000001" customHeight="1" thickTop="1" thickBot="1">
      <c r="A13" s="116"/>
      <c r="D13" s="15">
        <v>1773775267</v>
      </c>
      <c r="E13" s="13" t="s">
        <v>421</v>
      </c>
      <c r="F13" s="13" t="s">
        <v>422</v>
      </c>
      <c r="G13" s="15">
        <v>1773775267</v>
      </c>
      <c r="H13" s="16">
        <v>200</v>
      </c>
      <c r="I13" s="47"/>
      <c r="J13" s="47"/>
      <c r="K13" s="51"/>
      <c r="L13" s="15"/>
      <c r="M13" s="15"/>
      <c r="N13" s="77"/>
      <c r="O13" s="64">
        <v>50</v>
      </c>
      <c r="P13" s="52">
        <v>50</v>
      </c>
      <c r="Q13" s="51"/>
      <c r="R13" s="53"/>
      <c r="S13" s="53"/>
      <c r="T13" s="53"/>
      <c r="U13" s="52"/>
      <c r="V13" s="15"/>
      <c r="W13" s="15"/>
      <c r="X13" s="15"/>
      <c r="Y13" s="69"/>
      <c r="Z13" s="228"/>
      <c r="AA13" s="228"/>
      <c r="AB13" s="70"/>
      <c r="AC13" s="71"/>
      <c r="AD13" s="47"/>
      <c r="AE13" s="47"/>
      <c r="AF13" s="47"/>
      <c r="AG13" s="47"/>
      <c r="AH13" s="58"/>
      <c r="AI13" s="15"/>
    </row>
    <row r="14" spans="1:39" s="13" customFormat="1" ht="20.100000000000001" customHeight="1" thickTop="1" thickBot="1">
      <c r="A14" s="116"/>
      <c r="D14" s="15">
        <v>2047453115</v>
      </c>
      <c r="E14" s="13" t="s">
        <v>423</v>
      </c>
      <c r="F14" s="13" t="s">
        <v>424</v>
      </c>
      <c r="G14" s="15">
        <v>2047453115</v>
      </c>
      <c r="H14" s="16" t="s">
        <v>425</v>
      </c>
      <c r="I14" s="47"/>
      <c r="J14" s="47"/>
      <c r="K14" s="51"/>
      <c r="L14" s="15"/>
      <c r="M14" s="15"/>
      <c r="N14" s="77"/>
      <c r="O14" s="64"/>
      <c r="P14" s="52"/>
      <c r="Q14" s="51"/>
      <c r="R14" s="53"/>
      <c r="S14" s="53"/>
      <c r="T14" s="53"/>
      <c r="U14" s="52"/>
      <c r="V14" s="15"/>
      <c r="W14" s="15"/>
      <c r="X14" s="15"/>
      <c r="Y14" s="69"/>
      <c r="Z14" s="228"/>
      <c r="AA14" s="228"/>
      <c r="AB14" s="70"/>
      <c r="AC14" s="71"/>
      <c r="AD14" s="47"/>
      <c r="AE14" s="47"/>
      <c r="AF14" s="47"/>
      <c r="AG14" s="47"/>
      <c r="AH14" s="58"/>
      <c r="AI14" s="15"/>
    </row>
    <row r="15" spans="1:39" s="13" customFormat="1" ht="20.100000000000001" customHeight="1" thickTop="1" thickBot="1">
      <c r="A15" s="116"/>
      <c r="B15" s="13" t="s">
        <v>193</v>
      </c>
      <c r="D15" s="15">
        <v>1138528583</v>
      </c>
      <c r="E15" s="13" t="s">
        <v>175</v>
      </c>
      <c r="F15" s="13" t="s">
        <v>410</v>
      </c>
      <c r="G15" s="15">
        <v>1138528583</v>
      </c>
      <c r="H15" s="16">
        <v>400</v>
      </c>
      <c r="I15" s="47"/>
      <c r="J15" s="47"/>
      <c r="K15" s="51"/>
      <c r="L15" s="15"/>
      <c r="M15" s="15"/>
      <c r="N15" s="77">
        <v>100</v>
      </c>
      <c r="O15" s="64"/>
      <c r="P15" s="52">
        <v>200</v>
      </c>
      <c r="Q15" s="51"/>
      <c r="R15" s="53"/>
      <c r="S15" s="53"/>
      <c r="T15" s="53"/>
      <c r="U15" s="52"/>
      <c r="V15" s="15"/>
      <c r="W15" s="15"/>
      <c r="X15" s="15"/>
      <c r="Y15" s="69"/>
      <c r="Z15" s="228"/>
      <c r="AA15" s="228"/>
      <c r="AB15" s="70"/>
      <c r="AC15" s="71"/>
      <c r="AD15" s="47"/>
      <c r="AE15" s="47"/>
      <c r="AF15" s="47"/>
      <c r="AG15" s="47"/>
      <c r="AH15" s="58"/>
      <c r="AI15" s="15"/>
    </row>
    <row r="16" spans="1:39" ht="20.100000000000001" customHeight="1" thickTop="1" thickBot="1">
      <c r="A16" s="116"/>
      <c r="B16" s="13"/>
      <c r="C16" s="13"/>
      <c r="D16" s="15">
        <v>1374995918</v>
      </c>
      <c r="E16" s="13" t="s">
        <v>409</v>
      </c>
      <c r="F16" s="13" t="s">
        <v>428</v>
      </c>
      <c r="G16" s="15">
        <v>1374995918</v>
      </c>
      <c r="H16" s="16"/>
      <c r="I16" s="47"/>
      <c r="J16" s="47"/>
      <c r="K16" s="51"/>
      <c r="L16" s="15"/>
      <c r="M16" s="15"/>
      <c r="N16" s="77"/>
      <c r="O16" s="129">
        <v>100</v>
      </c>
      <c r="P16" s="21"/>
      <c r="Q16" s="29"/>
      <c r="R16" s="14"/>
      <c r="S16" s="14"/>
      <c r="T16" s="5"/>
      <c r="U16" s="21"/>
      <c r="Y16" s="69"/>
      <c r="Z16" s="228"/>
      <c r="AA16" s="228"/>
      <c r="AB16" s="70"/>
      <c r="AC16" s="71"/>
      <c r="AD16" s="27"/>
      <c r="AE16" s="27"/>
      <c r="AF16" s="27"/>
      <c r="AG16" s="27"/>
      <c r="AH16" s="58"/>
      <c r="AJ16"/>
      <c r="AK16"/>
      <c r="AL16"/>
      <c r="AM16"/>
    </row>
    <row r="17" spans="1:39" s="13" customFormat="1" ht="20.100000000000001" customHeight="1" thickTop="1" thickBot="1">
      <c r="A17" s="116"/>
      <c r="D17" s="15">
        <v>37775617</v>
      </c>
      <c r="E17" s="13" t="s">
        <v>360</v>
      </c>
      <c r="G17" s="15">
        <v>37775617</v>
      </c>
      <c r="H17" s="16"/>
      <c r="I17" s="47"/>
      <c r="J17" s="47"/>
      <c r="K17" s="51"/>
      <c r="L17" s="15"/>
      <c r="M17" s="15"/>
      <c r="N17" s="77"/>
      <c r="O17" s="64">
        <v>200</v>
      </c>
      <c r="P17" s="52"/>
      <c r="Q17" s="51"/>
      <c r="R17" s="53"/>
      <c r="S17" s="53"/>
      <c r="T17" s="53"/>
      <c r="U17" s="52"/>
      <c r="V17" s="15"/>
      <c r="W17" s="15"/>
      <c r="X17" s="15"/>
      <c r="Y17" s="69"/>
      <c r="Z17" s="228"/>
      <c r="AA17" s="228"/>
      <c r="AB17" s="70"/>
      <c r="AC17" s="71"/>
      <c r="AD17" s="47"/>
      <c r="AE17" s="47"/>
      <c r="AF17" s="47"/>
      <c r="AG17" s="47"/>
      <c r="AH17" s="58"/>
      <c r="AI17" s="15"/>
    </row>
    <row r="18" spans="1:39" s="13" customFormat="1" ht="20.100000000000001" customHeight="1" thickTop="1" thickBot="1">
      <c r="A18" s="116"/>
      <c r="B18" s="13" t="s">
        <v>194</v>
      </c>
      <c r="D18" s="15">
        <v>1382904718</v>
      </c>
      <c r="E18" s="13" t="s">
        <v>403</v>
      </c>
      <c r="F18" s="13" t="s">
        <v>404</v>
      </c>
      <c r="G18" s="15">
        <v>1382904718</v>
      </c>
      <c r="H18" s="16">
        <v>100</v>
      </c>
      <c r="I18" s="47"/>
      <c r="J18" s="47"/>
      <c r="K18" s="51"/>
      <c r="L18" s="15"/>
      <c r="M18" s="15"/>
      <c r="N18" s="77"/>
      <c r="O18" s="64"/>
      <c r="P18" s="52"/>
      <c r="Q18" s="51"/>
      <c r="R18" s="53"/>
      <c r="S18" s="53"/>
      <c r="T18" s="53"/>
      <c r="U18" s="52"/>
      <c r="V18" s="15"/>
      <c r="W18" s="15"/>
      <c r="X18" s="15"/>
      <c r="Y18" s="69"/>
      <c r="Z18" s="228"/>
      <c r="AA18" s="228"/>
      <c r="AB18" s="70"/>
      <c r="AC18" s="71"/>
      <c r="AD18" s="47"/>
      <c r="AE18" s="47"/>
      <c r="AF18" s="47"/>
      <c r="AG18" s="47"/>
      <c r="AH18" s="58"/>
      <c r="AI18" s="15"/>
    </row>
    <row r="19" spans="1:39" s="13" customFormat="1" ht="20.100000000000001" customHeight="1" thickTop="1" thickBot="1">
      <c r="A19" s="116"/>
      <c r="D19" s="15">
        <v>1024294111</v>
      </c>
      <c r="E19" s="13" t="s">
        <v>407</v>
      </c>
      <c r="F19" s="13" t="s">
        <v>408</v>
      </c>
      <c r="G19" s="15">
        <v>1024294111</v>
      </c>
      <c r="H19" s="16">
        <v>200</v>
      </c>
      <c r="I19" s="47"/>
      <c r="J19" s="47"/>
      <c r="K19" s="51"/>
      <c r="L19" s="15"/>
      <c r="M19" s="15"/>
      <c r="N19" s="77"/>
      <c r="O19" s="64"/>
      <c r="P19" s="52"/>
      <c r="Q19" s="51"/>
      <c r="R19" s="53"/>
      <c r="S19" s="53"/>
      <c r="T19" s="53"/>
      <c r="U19" s="52"/>
      <c r="V19" s="15"/>
      <c r="W19" s="15"/>
      <c r="X19" s="15"/>
      <c r="Y19" s="69"/>
      <c r="Z19" s="228"/>
      <c r="AA19" s="228"/>
      <c r="AB19" s="70"/>
      <c r="AC19" s="71"/>
      <c r="AD19" s="47"/>
      <c r="AE19" s="47"/>
      <c r="AF19" s="47"/>
      <c r="AG19" s="47"/>
      <c r="AH19" s="58"/>
      <c r="AI19" s="15"/>
    </row>
    <row r="20" spans="1:39" s="13" customFormat="1" ht="20.100000000000001" customHeight="1" thickTop="1" thickBot="1">
      <c r="A20" s="116"/>
      <c r="D20" s="15">
        <v>2044480569</v>
      </c>
      <c r="E20" s="13" t="s">
        <v>405</v>
      </c>
      <c r="F20" s="13" t="s">
        <v>406</v>
      </c>
      <c r="G20" s="15">
        <v>2044480569</v>
      </c>
      <c r="H20" s="16">
        <v>100</v>
      </c>
      <c r="I20" s="47"/>
      <c r="J20" s="47"/>
      <c r="K20" s="51"/>
      <c r="L20" s="15"/>
      <c r="M20" s="15"/>
      <c r="N20" s="77"/>
      <c r="O20" s="64"/>
      <c r="P20" s="52"/>
      <c r="Q20" s="51"/>
      <c r="R20" s="53"/>
      <c r="S20" s="53"/>
      <c r="T20" s="53"/>
      <c r="U20" s="52"/>
      <c r="V20" s="15"/>
      <c r="W20" s="15"/>
      <c r="X20" s="15"/>
      <c r="Y20" s="69"/>
      <c r="Z20" s="228"/>
      <c r="AA20" s="228"/>
      <c r="AB20" s="70"/>
      <c r="AC20" s="71"/>
      <c r="AD20" t="s">
        <v>358</v>
      </c>
      <c r="AE20" s="220"/>
      <c r="AF20" s="47"/>
      <c r="AG20" s="47"/>
      <c r="AH20" s="58"/>
      <c r="AI20" s="15"/>
    </row>
    <row r="21" spans="1:39" s="13" customFormat="1" ht="20.100000000000001" customHeight="1" thickTop="1" thickBot="1">
      <c r="D21" s="15"/>
      <c r="G21" s="15"/>
      <c r="H21" s="16"/>
      <c r="I21" s="47"/>
      <c r="J21" s="47"/>
      <c r="K21" s="51"/>
      <c r="L21" s="15"/>
      <c r="M21" s="15"/>
      <c r="N21" s="83"/>
      <c r="O21" s="64"/>
      <c r="P21" s="57"/>
      <c r="Q21" s="213"/>
      <c r="R21" s="14"/>
      <c r="S21" s="14"/>
      <c r="T21" s="64"/>
      <c r="U21" s="57"/>
      <c r="V21" s="15"/>
      <c r="W21" s="15"/>
      <c r="X21" s="15"/>
      <c r="Y21" s="69"/>
      <c r="Z21" s="228"/>
      <c r="AA21" s="228"/>
      <c r="AB21" s="70"/>
      <c r="AC21" s="71"/>
      <c r="AD21" s="27"/>
      <c r="AE21" s="224"/>
      <c r="AF21" s="15"/>
      <c r="AG21" s="15"/>
      <c r="AH21" s="15"/>
      <c r="AI21" s="15"/>
    </row>
    <row r="22" spans="1:39" s="13" customFormat="1" ht="20.100000000000001" customHeight="1" thickTop="1" thickBot="1">
      <c r="A22" s="116"/>
      <c r="C22" s="13" t="s">
        <v>377</v>
      </c>
      <c r="D22" s="15">
        <v>1409613427</v>
      </c>
      <c r="E22" s="13" t="s">
        <v>185</v>
      </c>
      <c r="F22" s="13" t="s">
        <v>402</v>
      </c>
      <c r="G22" s="15">
        <v>1409613427</v>
      </c>
      <c r="H22" s="16"/>
      <c r="I22" s="47"/>
      <c r="J22" s="47">
        <v>100</v>
      </c>
      <c r="K22" s="51"/>
      <c r="L22" s="15"/>
      <c r="M22" s="15"/>
      <c r="N22" s="77"/>
      <c r="O22" s="64">
        <v>100</v>
      </c>
      <c r="P22" s="52"/>
      <c r="Q22" s="51"/>
      <c r="R22" s="53"/>
      <c r="S22" s="53"/>
      <c r="T22" s="53"/>
      <c r="U22" s="52"/>
      <c r="V22" s="15"/>
      <c r="W22" s="15"/>
      <c r="X22" s="15"/>
      <c r="Y22" s="69"/>
      <c r="Z22" s="228"/>
      <c r="AA22" s="228"/>
      <c r="AB22" s="70"/>
      <c r="AC22" s="71"/>
      <c r="AD22" s="47"/>
      <c r="AE22" s="47"/>
      <c r="AF22" s="47"/>
      <c r="AG22" s="47"/>
      <c r="AH22" s="58"/>
      <c r="AI22" s="15"/>
    </row>
    <row r="23" spans="1:39" ht="18" customHeight="1" thickTop="1" thickBot="1">
      <c r="B23" s="13" t="s">
        <v>191</v>
      </c>
      <c r="C23" s="13"/>
      <c r="D23" s="15">
        <v>1022013892</v>
      </c>
      <c r="E23" s="13" t="s">
        <v>379</v>
      </c>
      <c r="F23" s="13" t="s">
        <v>381</v>
      </c>
      <c r="G23" s="15">
        <v>1022013892</v>
      </c>
      <c r="H23" s="16"/>
      <c r="I23" s="47"/>
      <c r="J23" s="47"/>
      <c r="K23" s="51"/>
      <c r="L23" s="15">
        <v>100</v>
      </c>
      <c r="M23" s="15"/>
      <c r="N23" s="77"/>
      <c r="O23" s="64">
        <v>100</v>
      </c>
      <c r="P23" s="57"/>
      <c r="Q23" s="50"/>
      <c r="R23" s="53"/>
      <c r="S23" s="53"/>
      <c r="T23" s="5"/>
      <c r="U23" s="21"/>
      <c r="Y23" s="69"/>
      <c r="Z23" s="228"/>
      <c r="AA23" s="228"/>
      <c r="AB23" s="70"/>
      <c r="AC23" s="71"/>
      <c r="AD23" s="27"/>
      <c r="AE23" s="27"/>
      <c r="AF23" s="47"/>
      <c r="AG23" s="47"/>
      <c r="AH23" s="15"/>
      <c r="AJ23"/>
      <c r="AK23"/>
      <c r="AL23"/>
      <c r="AM23"/>
    </row>
    <row r="24" spans="1:39" ht="18" customHeight="1" thickTop="1" thickBot="1">
      <c r="B24" s="13"/>
      <c r="C24" s="13"/>
      <c r="D24" s="15">
        <v>1258228694</v>
      </c>
      <c r="E24" s="13" t="s">
        <v>202</v>
      </c>
      <c r="F24" s="13" t="s">
        <v>262</v>
      </c>
      <c r="G24" s="15">
        <v>1258228694</v>
      </c>
      <c r="H24" s="16"/>
      <c r="I24" s="47"/>
      <c r="J24" s="47"/>
      <c r="K24" s="51"/>
      <c r="L24" s="15"/>
      <c r="M24" s="15"/>
      <c r="N24" s="77"/>
      <c r="O24" s="64"/>
      <c r="P24" s="57"/>
      <c r="Q24" s="50"/>
      <c r="R24" s="53"/>
      <c r="S24" s="53"/>
      <c r="T24" s="5"/>
      <c r="U24" s="21"/>
      <c r="Y24" s="69"/>
      <c r="Z24" s="228"/>
      <c r="AA24" s="228"/>
      <c r="AB24" s="70"/>
      <c r="AC24" s="71"/>
      <c r="AD24" s="27"/>
      <c r="AE24" s="27"/>
      <c r="AF24" s="47"/>
      <c r="AG24" s="47"/>
      <c r="AH24" s="15"/>
      <c r="AJ24"/>
      <c r="AK24"/>
      <c r="AL24"/>
      <c r="AM24"/>
    </row>
    <row r="25" spans="1:39" ht="18" customHeight="1" thickTop="1" thickBot="1">
      <c r="B25" s="13"/>
      <c r="C25" s="13"/>
      <c r="D25" s="15">
        <v>1016917438</v>
      </c>
      <c r="E25" s="13" t="s">
        <v>380</v>
      </c>
      <c r="F25" s="13" t="s">
        <v>382</v>
      </c>
      <c r="G25" s="15">
        <v>1016917438</v>
      </c>
      <c r="H25" s="16"/>
      <c r="I25" s="47"/>
      <c r="J25" s="47"/>
      <c r="K25" s="51"/>
      <c r="L25" s="15"/>
      <c r="M25" s="15"/>
      <c r="N25" s="77"/>
      <c r="O25" s="64">
        <v>100</v>
      </c>
      <c r="P25" s="57"/>
      <c r="Q25" s="50"/>
      <c r="R25" s="53"/>
      <c r="S25" s="53"/>
      <c r="T25" s="5"/>
      <c r="U25" s="21"/>
      <c r="Y25" s="69"/>
      <c r="Z25" s="228"/>
      <c r="AA25" s="228"/>
      <c r="AB25" s="70"/>
      <c r="AC25" s="71"/>
      <c r="AD25" s="27"/>
      <c r="AE25" s="27"/>
      <c r="AF25" s="47"/>
      <c r="AG25" s="47"/>
      <c r="AH25" s="15"/>
      <c r="AJ25"/>
      <c r="AK25"/>
      <c r="AL25"/>
      <c r="AM25"/>
    </row>
    <row r="26" spans="1:39" ht="18" customHeight="1" thickTop="1" thickBot="1">
      <c r="B26" s="13"/>
      <c r="C26" s="13"/>
      <c r="D26" s="15">
        <v>1287821286</v>
      </c>
      <c r="E26" s="13" t="s">
        <v>383</v>
      </c>
      <c r="F26" s="13" t="s">
        <v>265</v>
      </c>
      <c r="G26" s="15">
        <v>1287821286</v>
      </c>
      <c r="H26" s="16"/>
      <c r="I26" s="47"/>
      <c r="J26" s="47"/>
      <c r="K26" s="51"/>
      <c r="L26" s="15"/>
      <c r="M26" s="15"/>
      <c r="N26" s="77"/>
      <c r="O26" s="64"/>
      <c r="P26" s="57"/>
      <c r="Q26" s="50"/>
      <c r="R26" s="53"/>
      <c r="S26" s="53"/>
      <c r="T26" s="5"/>
      <c r="U26" s="21"/>
      <c r="Y26" s="69"/>
      <c r="Z26" s="228"/>
      <c r="AA26" s="228"/>
      <c r="AB26" s="70"/>
      <c r="AC26" s="71"/>
      <c r="AD26" s="27"/>
      <c r="AE26" s="27"/>
      <c r="AF26" s="47"/>
      <c r="AG26" s="47"/>
      <c r="AH26" s="15"/>
      <c r="AJ26"/>
      <c r="AK26"/>
      <c r="AL26"/>
      <c r="AM26"/>
    </row>
    <row r="27" spans="1:39" ht="18" customHeight="1" thickTop="1" thickBot="1">
      <c r="B27" s="13"/>
      <c r="C27" s="13"/>
      <c r="D27" s="15">
        <v>1881917537</v>
      </c>
      <c r="E27" s="13" t="s">
        <v>206</v>
      </c>
      <c r="F27" s="13" t="s">
        <v>264</v>
      </c>
      <c r="G27" s="15">
        <v>1881917537</v>
      </c>
      <c r="H27" s="16"/>
      <c r="I27" s="47"/>
      <c r="J27" s="47">
        <v>100</v>
      </c>
      <c r="K27" s="51"/>
      <c r="L27" s="15"/>
      <c r="M27" s="15"/>
      <c r="N27" s="77"/>
      <c r="O27" s="64"/>
      <c r="P27" s="57"/>
      <c r="Q27" s="50"/>
      <c r="R27" s="14"/>
      <c r="S27" s="14"/>
      <c r="T27" s="5"/>
      <c r="U27" s="21"/>
      <c r="Y27" s="69"/>
      <c r="Z27" s="228"/>
      <c r="AA27" s="228"/>
      <c r="AB27" s="70"/>
      <c r="AC27" s="71"/>
      <c r="AD27" s="27"/>
      <c r="AE27" s="27"/>
      <c r="AF27" s="47"/>
      <c r="AG27" s="47"/>
      <c r="AH27" s="15"/>
      <c r="AJ27"/>
      <c r="AK27"/>
      <c r="AL27"/>
      <c r="AM27"/>
    </row>
    <row r="28" spans="1:39" ht="18" customHeight="1" thickTop="1" thickBot="1">
      <c r="D28" s="15">
        <v>1421207239</v>
      </c>
      <c r="E28" s="13" t="s">
        <v>384</v>
      </c>
      <c r="F28" s="13" t="s">
        <v>385</v>
      </c>
      <c r="G28" s="15">
        <v>1421207239</v>
      </c>
      <c r="H28" s="16"/>
      <c r="I28" s="47"/>
      <c r="J28" s="47">
        <v>100</v>
      </c>
      <c r="K28" s="51"/>
      <c r="L28" s="15"/>
      <c r="M28" s="15"/>
      <c r="N28" s="77"/>
      <c r="O28" s="64"/>
      <c r="P28" s="57"/>
      <c r="Q28" s="50"/>
      <c r="R28" s="14"/>
      <c r="S28" s="14"/>
      <c r="T28" s="5"/>
      <c r="U28" s="21"/>
      <c r="Y28" s="69"/>
      <c r="Z28" s="228"/>
      <c r="AA28" s="228"/>
      <c r="AB28" s="70"/>
      <c r="AC28" s="71"/>
      <c r="AD28" s="27"/>
      <c r="AE28" s="27"/>
      <c r="AF28" s="47"/>
      <c r="AG28" s="47"/>
      <c r="AH28" s="15"/>
      <c r="AJ28"/>
      <c r="AK28"/>
      <c r="AL28"/>
      <c r="AM28"/>
    </row>
    <row r="29" spans="1:39" ht="19.5" customHeight="1" thickTop="1" thickBot="1">
      <c r="D29" s="15">
        <v>1683089915</v>
      </c>
      <c r="E29" s="13" t="s">
        <v>386</v>
      </c>
      <c r="F29" s="13" t="s">
        <v>387</v>
      </c>
      <c r="G29" s="15">
        <v>1683089915</v>
      </c>
      <c r="H29" s="16"/>
      <c r="I29" s="47"/>
      <c r="J29" s="47">
        <v>100</v>
      </c>
      <c r="K29" s="51"/>
      <c r="L29" s="15"/>
      <c r="M29" s="15"/>
      <c r="N29" s="77"/>
      <c r="O29" s="64">
        <v>100</v>
      </c>
      <c r="P29" s="57"/>
      <c r="Q29" s="50"/>
      <c r="R29" s="14"/>
      <c r="S29" s="14"/>
      <c r="T29" s="5"/>
      <c r="U29" s="21"/>
      <c r="Y29" s="69"/>
      <c r="Z29" s="228"/>
      <c r="AA29" s="228"/>
      <c r="AB29" s="70"/>
      <c r="AC29" s="71"/>
      <c r="AD29" s="27"/>
      <c r="AE29" s="27"/>
      <c r="AF29" s="47"/>
      <c r="AG29" s="47"/>
      <c r="AH29" s="15"/>
      <c r="AJ29"/>
      <c r="AK29"/>
      <c r="AL29"/>
      <c r="AM29"/>
    </row>
    <row r="30" spans="1:39" ht="18" customHeight="1" thickTop="1" thickBot="1">
      <c r="D30" s="15">
        <v>1886277668</v>
      </c>
      <c r="E30" s="13" t="s">
        <v>388</v>
      </c>
      <c r="F30" s="13" t="s">
        <v>389</v>
      </c>
      <c r="G30" s="15">
        <v>1886277668</v>
      </c>
      <c r="H30" s="16"/>
      <c r="I30" s="47"/>
      <c r="J30" s="47">
        <v>150</v>
      </c>
      <c r="K30" s="51"/>
      <c r="L30" s="15"/>
      <c r="M30" s="15"/>
      <c r="N30" s="77"/>
      <c r="O30" s="64">
        <v>100</v>
      </c>
      <c r="P30" s="57"/>
      <c r="Q30" s="50"/>
      <c r="R30" s="14"/>
      <c r="S30" s="14"/>
      <c r="T30" s="5"/>
      <c r="U30" s="21"/>
      <c r="Y30" s="69"/>
      <c r="Z30" s="228"/>
      <c r="AA30" s="228"/>
      <c r="AB30" s="70"/>
      <c r="AC30" s="71"/>
      <c r="AD30" s="27"/>
      <c r="AE30" s="27"/>
      <c r="AF30" s="47"/>
      <c r="AG30" s="47"/>
      <c r="AH30" s="15"/>
      <c r="AJ30"/>
      <c r="AK30"/>
      <c r="AL30"/>
      <c r="AM30"/>
    </row>
    <row r="31" spans="1:39" s="13" customFormat="1" ht="23.25" customHeight="1" thickTop="1" thickBot="1">
      <c r="A31" s="115"/>
      <c r="B31" s="13" t="s">
        <v>191</v>
      </c>
      <c r="D31" s="15">
        <v>2035334597</v>
      </c>
      <c r="E31" s="13" t="s">
        <v>204</v>
      </c>
      <c r="F31" s="13" t="s">
        <v>390</v>
      </c>
      <c r="G31" s="15">
        <v>2035334597</v>
      </c>
      <c r="H31" s="16"/>
      <c r="I31" s="47"/>
      <c r="J31" s="47"/>
      <c r="K31" s="51"/>
      <c r="L31" s="15"/>
      <c r="M31" s="15"/>
      <c r="N31" s="78"/>
      <c r="O31" s="64"/>
      <c r="P31" s="57"/>
      <c r="Q31" s="214"/>
      <c r="R31" s="215"/>
      <c r="S31" s="216"/>
      <c r="T31" s="217"/>
      <c r="U31" s="218"/>
      <c r="V31" s="226"/>
      <c r="W31" s="226"/>
      <c r="X31" s="226"/>
      <c r="Y31" s="69"/>
      <c r="Z31" s="228"/>
      <c r="AA31" s="228"/>
      <c r="AB31" s="70"/>
      <c r="AC31" s="71"/>
      <c r="AD31" s="27"/>
      <c r="AE31" s="27"/>
      <c r="AF31" s="47"/>
      <c r="AG31" s="47"/>
      <c r="AH31" s="58"/>
      <c r="AI31" s="15"/>
    </row>
    <row r="32" spans="1:39" s="13" customFormat="1" ht="23.25" customHeight="1" thickTop="1" thickBot="1">
      <c r="A32" s="115"/>
      <c r="D32" s="15">
        <v>1839268518</v>
      </c>
      <c r="E32" s="13" t="s">
        <v>391</v>
      </c>
      <c r="F32" s="13" t="s">
        <v>392</v>
      </c>
      <c r="G32" s="15">
        <v>1839268518</v>
      </c>
      <c r="H32" s="16"/>
      <c r="I32" s="47"/>
      <c r="J32" s="47">
        <v>100</v>
      </c>
      <c r="K32" s="51"/>
      <c r="L32" s="15"/>
      <c r="M32" s="15"/>
      <c r="N32" s="78"/>
      <c r="O32" s="64">
        <v>100</v>
      </c>
      <c r="P32" s="57"/>
      <c r="Q32" s="214"/>
      <c r="R32" s="215"/>
      <c r="S32" s="216"/>
      <c r="T32" s="217"/>
      <c r="U32" s="218"/>
      <c r="V32" s="226"/>
      <c r="W32" s="226"/>
      <c r="X32" s="226"/>
      <c r="Y32" s="69"/>
      <c r="Z32" s="228"/>
      <c r="AA32" s="228"/>
      <c r="AB32" s="70"/>
      <c r="AC32" s="71"/>
      <c r="AD32" s="27"/>
      <c r="AE32" s="27"/>
      <c r="AF32" s="47"/>
      <c r="AG32" s="47"/>
      <c r="AH32" s="58"/>
      <c r="AI32" s="15"/>
    </row>
    <row r="33" spans="1:39" s="13" customFormat="1" ht="23.25" customHeight="1" thickTop="1" thickBot="1">
      <c r="A33" s="115"/>
      <c r="D33" s="15">
        <v>1201249206</v>
      </c>
      <c r="E33" s="13" t="s">
        <v>393</v>
      </c>
      <c r="F33" s="13" t="s">
        <v>394</v>
      </c>
      <c r="G33" s="15">
        <v>1201249206</v>
      </c>
      <c r="H33" s="16"/>
      <c r="I33" s="47"/>
      <c r="J33" s="47"/>
      <c r="K33" s="51"/>
      <c r="L33" s="15"/>
      <c r="M33" s="15">
        <v>100</v>
      </c>
      <c r="N33" s="78"/>
      <c r="O33" s="64">
        <v>100</v>
      </c>
      <c r="P33" s="57"/>
      <c r="Q33" s="214"/>
      <c r="R33" s="215"/>
      <c r="S33" s="216"/>
      <c r="T33" s="217"/>
      <c r="U33" s="218"/>
      <c r="V33" s="226"/>
      <c r="W33" s="226"/>
      <c r="X33" s="226"/>
      <c r="Y33" s="69"/>
      <c r="Z33" s="228"/>
      <c r="AA33" s="228"/>
      <c r="AB33" s="70"/>
      <c r="AC33" s="71"/>
      <c r="AD33" s="27"/>
      <c r="AE33" s="27"/>
      <c r="AF33" s="47"/>
      <c r="AG33" s="47"/>
      <c r="AH33" s="58"/>
      <c r="AI33" s="15"/>
    </row>
    <row r="34" spans="1:39" s="13" customFormat="1" ht="20.100000000000001" customHeight="1" thickTop="1" thickBot="1">
      <c r="A34" s="116"/>
      <c r="D34" s="15">
        <v>36073217</v>
      </c>
      <c r="E34" s="13" t="s">
        <v>400</v>
      </c>
      <c r="F34" s="13" t="s">
        <v>401</v>
      </c>
      <c r="G34" s="15">
        <v>36073217</v>
      </c>
      <c r="H34" s="16"/>
      <c r="I34" s="47"/>
      <c r="J34" s="47">
        <v>200</v>
      </c>
      <c r="K34" s="51"/>
      <c r="L34" s="15"/>
      <c r="M34" s="15"/>
      <c r="N34" s="77"/>
      <c r="O34" s="64">
        <v>100</v>
      </c>
      <c r="P34" s="52"/>
      <c r="Q34" s="51"/>
      <c r="R34" s="53"/>
      <c r="S34" s="53"/>
      <c r="T34" s="53"/>
      <c r="U34" s="52"/>
      <c r="V34" s="15"/>
      <c r="W34" s="15"/>
      <c r="X34" s="15"/>
      <c r="Y34" s="69"/>
      <c r="Z34" s="228"/>
      <c r="AA34" s="228"/>
      <c r="AB34" s="70"/>
      <c r="AC34" s="71"/>
      <c r="AD34" s="47"/>
      <c r="AE34" s="47"/>
      <c r="AF34" s="47"/>
      <c r="AG34" s="47"/>
      <c r="AH34" s="58"/>
      <c r="AI34" s="15"/>
    </row>
    <row r="35" spans="1:39" s="13" customFormat="1" ht="23.25" customHeight="1" thickTop="1" thickBot="1">
      <c r="A35" s="115"/>
      <c r="D35" s="15">
        <v>1737548149</v>
      </c>
      <c r="E35" s="13" t="s">
        <v>398</v>
      </c>
      <c r="F35" s="13" t="s">
        <v>399</v>
      </c>
      <c r="G35" s="15">
        <v>1737548149</v>
      </c>
      <c r="H35" s="16"/>
      <c r="I35" s="47"/>
      <c r="J35" s="47"/>
      <c r="K35" s="51"/>
      <c r="L35" s="15"/>
      <c r="M35" s="15"/>
      <c r="N35" s="78"/>
      <c r="O35" s="64">
        <v>100</v>
      </c>
      <c r="P35" s="57"/>
      <c r="Q35" s="29" t="s">
        <v>433</v>
      </c>
      <c r="R35" s="215"/>
      <c r="S35" s="216"/>
      <c r="T35" s="217"/>
      <c r="U35" s="218"/>
      <c r="V35" s="226"/>
      <c r="W35" s="226"/>
      <c r="X35" s="226"/>
      <c r="Y35" s="69"/>
      <c r="Z35" s="228"/>
      <c r="AA35" s="228"/>
      <c r="AB35" s="70"/>
      <c r="AC35" s="71"/>
      <c r="AD35" s="27"/>
      <c r="AE35" s="27"/>
      <c r="AF35" s="47"/>
      <c r="AG35" s="47"/>
      <c r="AH35" s="58"/>
      <c r="AI35" s="15"/>
    </row>
    <row r="36" spans="1:39" ht="19.5" customHeight="1" thickTop="1" thickBot="1">
      <c r="D36" s="15">
        <v>2021830539</v>
      </c>
      <c r="E36" s="13" t="s">
        <v>396</v>
      </c>
      <c r="F36" s="13" t="s">
        <v>397</v>
      </c>
      <c r="G36" s="15">
        <v>2021830539</v>
      </c>
      <c r="H36" s="16"/>
      <c r="I36" s="47"/>
      <c r="J36" s="47"/>
      <c r="K36" s="51"/>
      <c r="L36" s="15"/>
      <c r="M36" s="15"/>
      <c r="N36" s="77"/>
      <c r="O36" s="64"/>
      <c r="P36" s="57"/>
      <c r="Q36" s="50"/>
      <c r="R36" s="14"/>
      <c r="S36" s="14"/>
      <c r="T36" s="5"/>
      <c r="U36" s="21"/>
      <c r="Y36" s="69"/>
      <c r="Z36" s="228"/>
      <c r="AA36" s="228"/>
      <c r="AB36" s="70"/>
      <c r="AC36" s="71"/>
      <c r="AD36" s="27"/>
      <c r="AE36" s="27"/>
      <c r="AF36" s="47"/>
      <c r="AG36" s="47"/>
      <c r="AH36" s="15"/>
      <c r="AJ36"/>
      <c r="AK36"/>
      <c r="AL36"/>
      <c r="AM36"/>
    </row>
    <row r="37" spans="1:39" s="13" customFormat="1" ht="20.100000000000001" customHeight="1" thickTop="1">
      <c r="D37" s="15">
        <v>1642603227</v>
      </c>
      <c r="E37" s="13" t="s">
        <v>210</v>
      </c>
      <c r="F37" s="13" t="s">
        <v>395</v>
      </c>
      <c r="G37" s="15">
        <v>1642603227</v>
      </c>
      <c r="H37" s="16"/>
      <c r="I37" s="47"/>
      <c r="J37" s="47"/>
      <c r="K37" s="51"/>
      <c r="L37" s="15"/>
      <c r="M37" s="15"/>
      <c r="N37" s="83"/>
      <c r="O37" s="64"/>
      <c r="P37" s="57"/>
      <c r="Q37" s="29"/>
      <c r="R37" s="14"/>
      <c r="S37" s="14"/>
      <c r="T37" s="14"/>
      <c r="U37" s="57"/>
      <c r="V37" s="15"/>
      <c r="W37" s="15"/>
      <c r="X37" s="15"/>
      <c r="Y37" s="69"/>
      <c r="Z37" s="228"/>
      <c r="AA37" s="228"/>
      <c r="AB37" s="70"/>
      <c r="AC37" s="71"/>
      <c r="AD37" s="27"/>
      <c r="AE37" s="27"/>
      <c r="AF37" s="47"/>
      <c r="AG37" s="47"/>
      <c r="AH37" s="15"/>
      <c r="AI37" s="15"/>
    </row>
    <row r="38" spans="1:39" s="102" customFormat="1" ht="20.100000000000001" customHeight="1">
      <c r="D38" s="112"/>
      <c r="E38" s="103">
        <f>SUBTOTAL(109,E6:E20)</f>
        <v>0</v>
      </c>
      <c r="F38" s="112"/>
      <c r="G38" s="112"/>
      <c r="H38" s="104">
        <f>SUBTOTAL(109,H6:H37)</f>
        <v>1100</v>
      </c>
      <c r="I38" s="108"/>
      <c r="J38" s="106">
        <f>SUBTOTAL(109,J6:J37)</f>
        <v>1100</v>
      </c>
      <c r="K38" s="103"/>
      <c r="L38" s="113"/>
      <c r="M38" s="113"/>
      <c r="N38" s="107"/>
      <c r="O38" s="108">
        <f>SUBTOTAL(109,O6:O37)</f>
        <v>1550</v>
      </c>
      <c r="P38" s="105">
        <f>SUBTOTAL(109,P6:P37)</f>
        <v>400</v>
      </c>
      <c r="Q38" s="104"/>
      <c r="R38" s="106"/>
      <c r="S38" s="106"/>
      <c r="T38" s="106"/>
      <c r="U38" s="105"/>
      <c r="V38" s="113"/>
      <c r="W38" s="113"/>
      <c r="X38" s="113"/>
      <c r="Y38" s="109"/>
      <c r="Z38" s="229"/>
      <c r="AA38" s="229"/>
      <c r="AB38" s="110"/>
      <c r="AC38" s="111"/>
      <c r="AD38" s="112"/>
      <c r="AE38" s="112"/>
      <c r="AF38" s="112"/>
      <c r="AG38" s="112"/>
      <c r="AH38" s="113"/>
      <c r="AI38" s="113"/>
    </row>
    <row r="39" spans="1:39" s="15" customFormat="1" ht="20.100000000000001" customHeight="1" thickBot="1">
      <c r="D39" s="47"/>
      <c r="E39" s="60"/>
      <c r="F39" s="47"/>
      <c r="G39" s="47"/>
      <c r="H39" s="51"/>
      <c r="I39" s="63"/>
      <c r="J39" s="53"/>
      <c r="K39" s="60"/>
      <c r="N39" s="78"/>
      <c r="O39" s="63"/>
      <c r="P39" s="52"/>
      <c r="Q39" s="51"/>
      <c r="R39" s="53"/>
      <c r="S39" s="53"/>
      <c r="T39" s="53"/>
      <c r="U39" s="52"/>
      <c r="Y39" s="72"/>
      <c r="Z39" s="230"/>
      <c r="AA39" s="230"/>
      <c r="AB39" s="73"/>
      <c r="AC39" s="74"/>
      <c r="AD39" s="47"/>
      <c r="AE39" s="47"/>
      <c r="AF39" s="47"/>
      <c r="AG39" s="47"/>
    </row>
    <row r="40" spans="1:39" s="13" customFormat="1" ht="20.100000000000001" customHeight="1" thickTop="1" thickBot="1">
      <c r="C40" s="114">
        <v>251107</v>
      </c>
      <c r="D40" s="75"/>
      <c r="E40" s="59" t="s">
        <v>198</v>
      </c>
      <c r="F40" s="75"/>
      <c r="G40" s="75"/>
      <c r="H40" s="17" t="s">
        <v>75</v>
      </c>
      <c r="I40" s="62"/>
      <c r="J40" s="18" t="s">
        <v>72</v>
      </c>
      <c r="K40" s="59" t="s">
        <v>74</v>
      </c>
      <c r="L40" s="222"/>
      <c r="M40" s="222"/>
      <c r="N40" s="76" t="s">
        <v>190</v>
      </c>
      <c r="O40" s="62" t="s">
        <v>156</v>
      </c>
      <c r="P40" s="19" t="s">
        <v>121</v>
      </c>
      <c r="Q40" s="54" t="s">
        <v>54</v>
      </c>
      <c r="R40" s="53"/>
      <c r="S40" s="53"/>
      <c r="T40" s="53"/>
      <c r="U40" s="52"/>
      <c r="V40" s="15"/>
      <c r="W40" s="15"/>
      <c r="X40" s="15"/>
      <c r="Y40" s="69"/>
      <c r="Z40" s="228"/>
      <c r="AA40" s="228"/>
      <c r="AB40" s="70"/>
      <c r="AC40" s="71"/>
      <c r="AD40" s="75"/>
      <c r="AE40" s="75"/>
      <c r="AF40" s="47"/>
      <c r="AG40" s="47"/>
      <c r="AH40" s="15"/>
      <c r="AI40" s="15"/>
    </row>
    <row r="41" spans="1:39" s="13" customFormat="1" ht="20.100000000000001" customHeight="1" thickTop="1" thickBot="1">
      <c r="C41" s="232"/>
      <c r="D41" s="47"/>
      <c r="E41" s="16" t="s">
        <v>432</v>
      </c>
      <c r="F41" s="27"/>
      <c r="G41" s="27"/>
      <c r="H41" s="64"/>
      <c r="I41" s="64"/>
      <c r="J41" s="14"/>
      <c r="K41" s="16"/>
      <c r="L41" s="15"/>
      <c r="M41" s="15"/>
      <c r="N41" s="78"/>
      <c r="O41" s="64"/>
      <c r="P41" s="57"/>
      <c r="Q41" s="214"/>
      <c r="R41" s="14"/>
      <c r="S41" s="14"/>
      <c r="T41" s="64"/>
      <c r="U41" s="57"/>
      <c r="V41" s="15"/>
      <c r="W41" s="15"/>
      <c r="X41" s="15"/>
      <c r="Y41" s="69"/>
      <c r="Z41" s="228"/>
      <c r="AA41" s="228"/>
      <c r="AB41" s="70"/>
      <c r="AC41" s="71"/>
      <c r="AD41" s="233"/>
      <c r="AE41" s="233"/>
      <c r="AF41" s="47"/>
      <c r="AG41" s="47"/>
      <c r="AH41" s="15"/>
      <c r="AI41" s="15"/>
    </row>
    <row r="42" spans="1:39" s="13" customFormat="1" ht="20.100000000000001" customHeight="1" thickTop="1" thickBot="1">
      <c r="C42" s="232"/>
      <c r="D42" s="47"/>
      <c r="E42" s="16" t="s">
        <v>431</v>
      </c>
      <c r="F42" s="27"/>
      <c r="G42" s="27"/>
      <c r="H42" s="64"/>
      <c r="I42" s="64"/>
      <c r="J42" s="14"/>
      <c r="K42" s="16"/>
      <c r="L42" s="15"/>
      <c r="M42" s="15"/>
      <c r="N42" s="78"/>
      <c r="O42" s="64"/>
      <c r="P42" s="57"/>
      <c r="Q42" s="214"/>
      <c r="R42" s="14"/>
      <c r="S42" s="14"/>
      <c r="T42" s="64"/>
      <c r="U42" s="57"/>
      <c r="V42" s="15"/>
      <c r="W42" s="15"/>
      <c r="X42" s="15"/>
      <c r="Y42" s="69"/>
      <c r="Z42" s="228"/>
      <c r="AA42" s="228"/>
      <c r="AB42" s="70"/>
      <c r="AC42" s="71"/>
      <c r="AD42" s="233"/>
      <c r="AE42" s="233"/>
      <c r="AF42" s="47"/>
      <c r="AG42" s="47"/>
      <c r="AH42" s="15"/>
      <c r="AI42" s="15"/>
    </row>
    <row r="43" spans="1:39" s="13" customFormat="1" ht="20.100000000000001" customHeight="1" thickTop="1">
      <c r="C43" s="232"/>
      <c r="D43" s="15">
        <v>1642603227</v>
      </c>
      <c r="E43" s="13" t="s">
        <v>210</v>
      </c>
      <c r="F43" s="13" t="s">
        <v>395</v>
      </c>
      <c r="G43" s="15">
        <v>1642603227</v>
      </c>
      <c r="H43" s="16"/>
      <c r="I43" s="47"/>
      <c r="J43" s="47"/>
      <c r="K43" s="51"/>
      <c r="L43" s="15"/>
      <c r="M43" s="15"/>
      <c r="N43" s="83"/>
      <c r="O43" s="64"/>
      <c r="P43" s="57"/>
      <c r="Q43" s="29"/>
      <c r="R43" s="14"/>
      <c r="S43" s="14"/>
      <c r="T43" s="64"/>
      <c r="U43" s="57"/>
      <c r="V43" s="15"/>
      <c r="W43" s="15"/>
      <c r="X43" s="15"/>
      <c r="Y43" s="69"/>
      <c r="Z43" s="228"/>
      <c r="AA43" s="228"/>
      <c r="AB43" s="70"/>
      <c r="AC43" s="71"/>
      <c r="AD43" s="233"/>
      <c r="AE43" s="233"/>
      <c r="AF43" s="47"/>
      <c r="AG43" s="47"/>
      <c r="AH43" s="15"/>
      <c r="AI43" s="15"/>
    </row>
    <row r="44" spans="1:39" s="13" customFormat="1" ht="20.100000000000001" customHeight="1" thickBot="1">
      <c r="C44" s="232"/>
      <c r="D44" s="47"/>
      <c r="E44" s="16"/>
      <c r="F44" s="27"/>
      <c r="G44" s="27"/>
      <c r="H44" s="64"/>
      <c r="I44" s="64"/>
      <c r="J44" s="14"/>
      <c r="K44" s="16"/>
      <c r="L44" s="15"/>
      <c r="M44" s="15"/>
      <c r="N44" s="78"/>
      <c r="O44" s="64"/>
      <c r="P44" s="57"/>
      <c r="Q44" s="214"/>
      <c r="R44" s="14"/>
      <c r="S44" s="14"/>
      <c r="T44" s="64"/>
      <c r="U44" s="57"/>
      <c r="V44" s="15"/>
      <c r="W44" s="15"/>
      <c r="X44" s="15"/>
      <c r="Y44" s="69"/>
      <c r="Z44" s="228"/>
      <c r="AA44" s="228"/>
      <c r="AB44" s="70"/>
      <c r="AC44" s="71"/>
      <c r="AD44" s="233"/>
      <c r="AE44" s="233"/>
      <c r="AF44" s="47"/>
      <c r="AG44" s="47"/>
      <c r="AH44" s="15"/>
      <c r="AI44" s="15"/>
    </row>
    <row r="45" spans="1:39" s="13" customFormat="1" ht="20.100000000000001" customHeight="1" thickTop="1" thickBot="1">
      <c r="B45" s="13" t="s">
        <v>46</v>
      </c>
      <c r="D45" s="47"/>
      <c r="E45" s="16" t="s">
        <v>28</v>
      </c>
      <c r="F45" s="47"/>
      <c r="G45" s="47"/>
      <c r="H45" s="51"/>
      <c r="I45" s="63">
        <v>200</v>
      </c>
      <c r="J45" s="53"/>
      <c r="K45" s="60"/>
      <c r="L45" s="15"/>
      <c r="M45" s="15"/>
      <c r="N45" s="77">
        <v>100</v>
      </c>
      <c r="O45" s="52">
        <v>100</v>
      </c>
      <c r="P45" s="52"/>
      <c r="Q45" s="29"/>
      <c r="R45" s="53"/>
      <c r="S45" s="53"/>
      <c r="T45" s="53"/>
      <c r="U45" s="52"/>
      <c r="V45" s="15"/>
      <c r="W45" s="15"/>
      <c r="X45" s="15"/>
      <c r="Y45" s="69"/>
      <c r="Z45" s="228"/>
      <c r="AA45" s="228"/>
      <c r="AB45" s="70"/>
      <c r="AC45" s="71"/>
      <c r="AD45" s="47"/>
      <c r="AE45" s="47"/>
      <c r="AF45" s="47"/>
      <c r="AG45" s="47"/>
      <c r="AH45" s="15"/>
      <c r="AI45" s="15"/>
    </row>
    <row r="46" spans="1:39" s="13" customFormat="1" ht="20.100000000000001" customHeight="1" thickTop="1" thickBot="1">
      <c r="D46" s="27"/>
      <c r="E46" s="16" t="s">
        <v>27</v>
      </c>
      <c r="F46" s="27"/>
      <c r="G46" s="27"/>
      <c r="H46" s="29"/>
      <c r="I46" s="64">
        <v>200</v>
      </c>
      <c r="J46" s="14"/>
      <c r="K46" s="16"/>
      <c r="L46" s="15"/>
      <c r="M46" s="15"/>
      <c r="N46" s="77">
        <v>100</v>
      </c>
      <c r="O46" s="57">
        <v>100</v>
      </c>
      <c r="P46" s="57"/>
      <c r="Q46" s="29"/>
      <c r="R46" s="14"/>
      <c r="S46" s="14"/>
      <c r="T46" s="14"/>
      <c r="U46" s="57"/>
      <c r="V46" s="15"/>
      <c r="W46" s="15"/>
      <c r="X46" s="15"/>
      <c r="Y46" s="69"/>
      <c r="Z46" s="228"/>
      <c r="AA46" s="228"/>
      <c r="AB46" s="70"/>
      <c r="AC46" s="71"/>
      <c r="AD46" s="27"/>
      <c r="AE46" s="27"/>
      <c r="AF46" s="47"/>
      <c r="AG46" s="47"/>
      <c r="AH46" s="15"/>
      <c r="AI46" s="15"/>
    </row>
    <row r="47" spans="1:39" s="13" customFormat="1" ht="20.100000000000001" customHeight="1" thickTop="1" thickBot="1">
      <c r="D47" s="47"/>
      <c r="E47" s="16" t="s">
        <v>29</v>
      </c>
      <c r="F47" s="47"/>
      <c r="G47" s="47"/>
      <c r="H47" s="51"/>
      <c r="I47" s="63">
        <v>200</v>
      </c>
      <c r="J47" s="53"/>
      <c r="K47" s="60"/>
      <c r="L47" s="15"/>
      <c r="M47" s="15"/>
      <c r="N47" s="77">
        <v>100</v>
      </c>
      <c r="O47" s="52">
        <v>100</v>
      </c>
      <c r="P47" s="52"/>
      <c r="Q47" s="29" t="s">
        <v>433</v>
      </c>
      <c r="R47" s="53"/>
      <c r="S47" s="53"/>
      <c r="T47" s="53"/>
      <c r="U47" s="52"/>
      <c r="V47" s="15"/>
      <c r="W47" s="15"/>
      <c r="X47" s="15"/>
      <c r="Y47" s="69"/>
      <c r="Z47" s="228"/>
      <c r="AA47" s="228"/>
      <c r="AB47" s="70"/>
      <c r="AC47" s="71"/>
      <c r="AD47" s="47"/>
      <c r="AE47" s="47"/>
      <c r="AF47" s="47"/>
      <c r="AG47" s="47"/>
      <c r="AH47" s="15"/>
      <c r="AI47" s="15"/>
    </row>
    <row r="48" spans="1:39" s="13" customFormat="1" ht="20.100000000000001" customHeight="1" thickTop="1" thickBot="1">
      <c r="D48" s="47"/>
      <c r="E48" s="16" t="s">
        <v>30</v>
      </c>
      <c r="F48" s="47"/>
      <c r="G48" s="47"/>
      <c r="H48" s="51"/>
      <c r="I48" s="63"/>
      <c r="J48" s="53"/>
      <c r="K48" s="60"/>
      <c r="L48" s="15"/>
      <c r="M48" s="15"/>
      <c r="N48" s="77"/>
      <c r="O48" s="65"/>
      <c r="P48" s="52"/>
      <c r="Q48" s="29"/>
      <c r="R48" s="53"/>
      <c r="S48" s="53"/>
      <c r="T48" s="53"/>
      <c r="U48" s="52"/>
      <c r="V48" s="15"/>
      <c r="W48" s="15"/>
      <c r="X48" s="15"/>
      <c r="Y48" s="69"/>
      <c r="Z48" s="228"/>
      <c r="AA48" s="228"/>
      <c r="AB48" s="70"/>
      <c r="AC48" s="71"/>
      <c r="AD48" s="47"/>
      <c r="AE48" s="47"/>
      <c r="AF48" s="47"/>
      <c r="AG48" s="47"/>
      <c r="AH48" s="15"/>
      <c r="AI48" s="15"/>
    </row>
    <row r="49" spans="2:39" s="13" customFormat="1" ht="20.100000000000001" customHeight="1" thickTop="1" thickBot="1">
      <c r="D49" s="47"/>
      <c r="E49" s="16" t="s">
        <v>31</v>
      </c>
      <c r="F49" s="47"/>
      <c r="G49" s="47"/>
      <c r="H49" s="51"/>
      <c r="I49" s="63">
        <v>100</v>
      </c>
      <c r="J49" s="53"/>
      <c r="K49" s="60"/>
      <c r="L49" s="15"/>
      <c r="M49" s="15"/>
      <c r="N49" s="77"/>
      <c r="O49" s="64"/>
      <c r="P49" s="52">
        <v>50</v>
      </c>
      <c r="Q49" s="51"/>
      <c r="R49" s="53"/>
      <c r="S49" s="53"/>
      <c r="T49" s="53"/>
      <c r="U49" s="52"/>
      <c r="V49" s="15"/>
      <c r="W49" s="15"/>
      <c r="X49" s="15"/>
      <c r="Y49" s="69"/>
      <c r="Z49" s="228"/>
      <c r="AA49" s="228"/>
      <c r="AB49" s="70"/>
      <c r="AC49" s="71"/>
      <c r="AD49" s="47"/>
      <c r="AE49" s="47"/>
      <c r="AF49" s="47"/>
      <c r="AG49" s="47"/>
      <c r="AH49" s="15"/>
      <c r="AI49" s="15"/>
    </row>
    <row r="50" spans="2:39" s="13" customFormat="1" ht="20.100000000000001" customHeight="1" thickTop="1" thickBot="1">
      <c r="D50" s="47"/>
      <c r="E50" s="16" t="s">
        <v>173</v>
      </c>
      <c r="F50" s="47"/>
      <c r="G50" s="47"/>
      <c r="H50" s="51"/>
      <c r="I50" s="63"/>
      <c r="J50" s="53"/>
      <c r="K50" s="60"/>
      <c r="L50" s="15"/>
      <c r="M50" s="15"/>
      <c r="N50" s="77"/>
      <c r="O50" s="65"/>
      <c r="P50" s="52"/>
      <c r="Q50" s="51"/>
      <c r="R50" s="53"/>
      <c r="S50" s="53"/>
      <c r="T50" s="53"/>
      <c r="U50" s="52"/>
      <c r="V50" s="15"/>
      <c r="W50" s="15"/>
      <c r="X50" s="15"/>
      <c r="Y50" s="69"/>
      <c r="Z50" s="228"/>
      <c r="AA50" s="228"/>
      <c r="AB50" s="70"/>
      <c r="AC50" s="71"/>
      <c r="AD50" s="47"/>
      <c r="AE50" s="47"/>
      <c r="AF50" s="47"/>
      <c r="AG50" s="47"/>
      <c r="AH50" s="15"/>
      <c r="AI50" s="15"/>
    </row>
    <row r="51" spans="2:39" s="13" customFormat="1" ht="20.100000000000001" customHeight="1" thickTop="1" thickBot="1">
      <c r="D51" s="27"/>
      <c r="E51" s="16" t="s">
        <v>253</v>
      </c>
      <c r="F51" s="27"/>
      <c r="G51" s="27"/>
      <c r="H51" s="29"/>
      <c r="I51" s="64">
        <v>100</v>
      </c>
      <c r="J51" s="14"/>
      <c r="K51" s="16"/>
      <c r="L51" s="15"/>
      <c r="M51" s="15"/>
      <c r="N51" s="77"/>
      <c r="O51" s="64"/>
      <c r="P51" s="57">
        <v>50</v>
      </c>
      <c r="Q51" s="29"/>
      <c r="R51" s="14"/>
      <c r="S51" s="14"/>
      <c r="T51" s="14"/>
      <c r="U51" s="57"/>
      <c r="V51" s="15"/>
      <c r="W51" s="15"/>
      <c r="X51" s="15"/>
      <c r="Y51" s="69"/>
      <c r="Z51" s="228"/>
      <c r="AA51" s="228"/>
      <c r="AB51" s="70"/>
      <c r="AC51" s="71"/>
      <c r="AD51" s="27"/>
      <c r="AE51" s="27"/>
      <c r="AF51" s="27"/>
      <c r="AG51" s="27"/>
      <c r="AH51" s="15" t="s">
        <v>311</v>
      </c>
      <c r="AI51" s="15"/>
    </row>
    <row r="52" spans="2:39" ht="20.100000000000001" customHeight="1" thickTop="1" thickBot="1">
      <c r="D52" s="27"/>
      <c r="E52" s="16"/>
      <c r="F52" s="27"/>
      <c r="G52" s="27"/>
      <c r="H52" s="29"/>
      <c r="I52" s="64"/>
      <c r="J52" s="14"/>
      <c r="K52" s="14"/>
      <c r="L52" s="15"/>
      <c r="M52" s="15"/>
      <c r="N52" s="77"/>
      <c r="O52" s="29"/>
      <c r="P52" s="57"/>
      <c r="Q52" s="29"/>
      <c r="R52" s="14"/>
      <c r="S52" s="14"/>
      <c r="T52" s="5"/>
      <c r="U52" s="21"/>
      <c r="Y52" s="69"/>
      <c r="Z52" s="228"/>
      <c r="AA52" s="228"/>
      <c r="AB52" s="70"/>
      <c r="AC52" s="71"/>
      <c r="AD52" s="27"/>
      <c r="AE52" s="27"/>
      <c r="AF52" s="47"/>
      <c r="AG52" s="47"/>
      <c r="AH52" s="15"/>
      <c r="AJ52"/>
      <c r="AK52"/>
      <c r="AL52"/>
      <c r="AM52"/>
    </row>
    <row r="53" spans="2:39" ht="20.100000000000001" customHeight="1" thickTop="1" thickBot="1">
      <c r="D53" s="27"/>
      <c r="E53" s="16" t="s">
        <v>36</v>
      </c>
      <c r="F53" s="27"/>
      <c r="G53" s="27"/>
      <c r="H53" s="29"/>
      <c r="I53" s="64">
        <v>200</v>
      </c>
      <c r="J53" s="14"/>
      <c r="K53" s="16"/>
      <c r="L53" s="15"/>
      <c r="M53" s="15"/>
      <c r="N53" s="77"/>
      <c r="O53" s="129"/>
      <c r="P53" s="57">
        <v>100</v>
      </c>
      <c r="Q53" s="29"/>
      <c r="R53" s="14"/>
      <c r="S53" s="14"/>
      <c r="T53" s="5"/>
      <c r="U53" s="21"/>
      <c r="Y53" s="69"/>
      <c r="Z53" s="228"/>
      <c r="AA53" s="228"/>
      <c r="AB53" s="70"/>
      <c r="AC53" s="71"/>
      <c r="AD53" s="27"/>
      <c r="AE53" s="27"/>
      <c r="AF53" s="27"/>
      <c r="AG53" s="27"/>
      <c r="AH53" s="15"/>
      <c r="AJ53"/>
      <c r="AK53"/>
      <c r="AL53"/>
      <c r="AM53"/>
    </row>
    <row r="54" spans="2:39" ht="19.5" customHeight="1" thickTop="1" thickBot="1">
      <c r="D54" s="27"/>
      <c r="E54" s="16" t="s">
        <v>37</v>
      </c>
      <c r="F54" s="27"/>
      <c r="G54" s="27"/>
      <c r="H54" s="29"/>
      <c r="I54" s="64">
        <v>200</v>
      </c>
      <c r="J54" s="14"/>
      <c r="K54" s="16"/>
      <c r="L54" s="15"/>
      <c r="M54" s="15"/>
      <c r="N54" s="77">
        <v>100</v>
      </c>
      <c r="O54" s="64"/>
      <c r="P54" s="57">
        <v>100</v>
      </c>
      <c r="Q54" s="29" t="s">
        <v>430</v>
      </c>
      <c r="R54" s="14"/>
      <c r="S54" s="14"/>
      <c r="T54" s="5"/>
      <c r="U54" s="21"/>
      <c r="Y54" s="69"/>
      <c r="Z54" s="228"/>
      <c r="AA54" s="228"/>
      <c r="AB54" s="70"/>
      <c r="AC54" s="71"/>
      <c r="AD54" s="27"/>
      <c r="AE54" s="27"/>
      <c r="AF54" s="27"/>
      <c r="AG54" s="27"/>
      <c r="AH54" s="15"/>
      <c r="AJ54"/>
      <c r="AK54"/>
      <c r="AL54"/>
      <c r="AM54"/>
    </row>
    <row r="55" spans="2:39" ht="19.5" customHeight="1" thickTop="1" thickBot="1">
      <c r="D55" s="27"/>
      <c r="E55" s="16" t="s">
        <v>367</v>
      </c>
      <c r="F55" s="27"/>
      <c r="G55" s="27"/>
      <c r="H55" s="29"/>
      <c r="I55" s="64">
        <v>200</v>
      </c>
      <c r="J55" s="14"/>
      <c r="K55" s="16"/>
      <c r="L55" s="15"/>
      <c r="M55" s="15"/>
      <c r="N55" s="77"/>
      <c r="O55" s="64"/>
      <c r="P55" s="57">
        <v>100</v>
      </c>
      <c r="Q55" s="29" t="s">
        <v>430</v>
      </c>
      <c r="R55" s="14"/>
      <c r="S55" s="14"/>
      <c r="T55" s="65"/>
      <c r="U55" s="21"/>
      <c r="Y55" s="69"/>
      <c r="Z55" s="228"/>
      <c r="AA55" s="228"/>
      <c r="AB55" s="70"/>
      <c r="AC55" s="71"/>
      <c r="AD55" s="27"/>
      <c r="AE55" s="27"/>
      <c r="AF55" s="47"/>
      <c r="AG55" s="47"/>
      <c r="AH55" s="15"/>
      <c r="AJ55"/>
      <c r="AK55"/>
      <c r="AL55"/>
      <c r="AM55"/>
    </row>
    <row r="56" spans="2:39" ht="19.5" customHeight="1" thickTop="1" thickBot="1">
      <c r="D56" s="27"/>
      <c r="E56" s="16" t="s">
        <v>55</v>
      </c>
      <c r="F56" s="27"/>
      <c r="G56" s="27"/>
      <c r="H56" s="29">
        <v>100</v>
      </c>
      <c r="I56" s="64"/>
      <c r="J56" s="14"/>
      <c r="K56" s="16"/>
      <c r="L56" s="15"/>
      <c r="M56" s="15"/>
      <c r="N56" s="77"/>
      <c r="O56" s="64"/>
      <c r="P56" s="57">
        <v>100</v>
      </c>
      <c r="Q56" s="221"/>
      <c r="R56" s="14"/>
      <c r="S56" s="14"/>
      <c r="T56" s="65"/>
      <c r="U56" s="21"/>
      <c r="Y56" s="69"/>
      <c r="Z56" s="228"/>
      <c r="AA56" s="228"/>
      <c r="AB56" s="70"/>
      <c r="AC56" s="71"/>
      <c r="AD56" s="27"/>
      <c r="AE56" s="27"/>
      <c r="AF56" s="47"/>
      <c r="AG56" s="47"/>
      <c r="AH56" s="15"/>
      <c r="AJ56"/>
      <c r="AK56"/>
      <c r="AL56"/>
      <c r="AM56"/>
    </row>
    <row r="57" spans="2:39" ht="19.5" customHeight="1" thickTop="1" thickBot="1">
      <c r="D57" s="27"/>
      <c r="E57" s="16" t="s">
        <v>366</v>
      </c>
      <c r="F57" s="27"/>
      <c r="G57" s="27"/>
      <c r="H57" s="29"/>
      <c r="I57" s="64">
        <v>100</v>
      </c>
      <c r="J57" s="14"/>
      <c r="K57" s="16"/>
      <c r="L57" s="15"/>
      <c r="M57" s="15"/>
      <c r="N57" s="77"/>
      <c r="O57" s="64"/>
      <c r="P57" s="57">
        <v>100</v>
      </c>
      <c r="Q57" s="29" t="s">
        <v>430</v>
      </c>
      <c r="R57" s="14"/>
      <c r="S57" s="14"/>
      <c r="T57" s="65"/>
      <c r="U57" s="21"/>
      <c r="Y57" s="69"/>
      <c r="Z57" s="228"/>
      <c r="AA57" s="228"/>
      <c r="AB57" s="70"/>
      <c r="AC57" s="71"/>
      <c r="AD57" s="27"/>
      <c r="AE57" s="27"/>
      <c r="AF57" s="47"/>
      <c r="AG57" s="47"/>
      <c r="AH57" s="15"/>
      <c r="AJ57"/>
      <c r="AK57"/>
      <c r="AL57"/>
      <c r="AM57"/>
    </row>
    <row r="58" spans="2:39" ht="18" customHeight="1" thickTop="1" thickBot="1">
      <c r="D58" s="27"/>
      <c r="E58" s="16"/>
      <c r="F58" s="27"/>
      <c r="G58" s="27"/>
      <c r="H58" s="29"/>
      <c r="I58" s="64"/>
      <c r="J58" s="14"/>
      <c r="K58" s="16"/>
      <c r="L58" s="15"/>
      <c r="M58" s="15"/>
      <c r="N58" s="77"/>
      <c r="O58" s="64"/>
      <c r="P58" s="57"/>
      <c r="Q58" s="50"/>
      <c r="R58" s="14"/>
      <c r="S58" s="14"/>
      <c r="T58" s="5"/>
      <c r="U58" s="21"/>
      <c r="Y58" s="69"/>
      <c r="Z58" s="228"/>
      <c r="AA58" s="228"/>
      <c r="AB58" s="70"/>
      <c r="AC58" s="71"/>
      <c r="AD58" s="27"/>
      <c r="AE58" s="27"/>
      <c r="AF58" s="47"/>
      <c r="AG58" s="47"/>
      <c r="AH58" s="15"/>
      <c r="AJ58"/>
      <c r="AK58"/>
      <c r="AL58"/>
      <c r="AM58"/>
    </row>
    <row r="59" spans="2:39" ht="18" customHeight="1" thickTop="1" thickBot="1">
      <c r="B59" s="13" t="s">
        <v>191</v>
      </c>
      <c r="C59" s="13"/>
      <c r="D59" s="27"/>
      <c r="E59" s="16" t="s">
        <v>330</v>
      </c>
      <c r="F59" s="27"/>
      <c r="G59" s="27"/>
      <c r="H59" s="234">
        <v>100</v>
      </c>
      <c r="I59" s="235"/>
      <c r="J59" s="14"/>
      <c r="K59" s="16"/>
      <c r="L59" s="15"/>
      <c r="M59" s="15"/>
      <c r="N59" s="77"/>
      <c r="O59" s="64"/>
      <c r="P59" s="57">
        <v>200</v>
      </c>
      <c r="Q59" s="50"/>
      <c r="R59" s="53">
        <v>5</v>
      </c>
      <c r="S59" s="53"/>
      <c r="T59" s="5"/>
      <c r="U59" s="21"/>
      <c r="Y59" s="69"/>
      <c r="Z59" s="228"/>
      <c r="AA59" s="228"/>
      <c r="AB59" s="70"/>
      <c r="AC59" s="71"/>
      <c r="AD59" s="27"/>
      <c r="AE59" s="27"/>
      <c r="AF59" s="47"/>
      <c r="AG59" s="47"/>
      <c r="AH59" s="15"/>
      <c r="AJ59"/>
      <c r="AK59"/>
      <c r="AL59"/>
      <c r="AM59"/>
    </row>
    <row r="60" spans="2:39" ht="18" customHeight="1" thickTop="1" thickBot="1">
      <c r="B60" s="13"/>
      <c r="C60" s="13"/>
      <c r="D60" s="27"/>
      <c r="E60" s="16" t="s">
        <v>331</v>
      </c>
      <c r="F60" s="27"/>
      <c r="G60" s="27"/>
      <c r="H60" s="29">
        <v>100</v>
      </c>
      <c r="I60" s="64"/>
      <c r="J60" s="14"/>
      <c r="K60" s="16"/>
      <c r="L60" s="15"/>
      <c r="M60" s="15"/>
      <c r="N60" s="77"/>
      <c r="O60" s="64"/>
      <c r="P60" s="57"/>
      <c r="Q60" s="50"/>
      <c r="R60" s="53">
        <v>5</v>
      </c>
      <c r="S60" s="53"/>
      <c r="T60" s="5"/>
      <c r="U60" s="21"/>
      <c r="Y60" s="69"/>
      <c r="Z60" s="228"/>
      <c r="AA60" s="228"/>
      <c r="AB60" s="70"/>
      <c r="AC60" s="71"/>
      <c r="AD60" s="27"/>
      <c r="AE60" s="27"/>
      <c r="AF60" s="47"/>
      <c r="AG60" s="47"/>
      <c r="AH60" s="15"/>
      <c r="AJ60"/>
      <c r="AK60"/>
      <c r="AL60"/>
      <c r="AM60"/>
    </row>
    <row r="61" spans="2:39" ht="18" customHeight="1" thickTop="1" thickBot="1">
      <c r="B61" s="13"/>
      <c r="C61" s="13"/>
      <c r="D61" s="27"/>
      <c r="E61" s="16" t="s">
        <v>332</v>
      </c>
      <c r="F61" s="27"/>
      <c r="G61" s="27"/>
      <c r="H61" s="234">
        <v>100</v>
      </c>
      <c r="I61" s="235"/>
      <c r="J61" s="14"/>
      <c r="K61" s="16"/>
      <c r="L61" s="15"/>
      <c r="M61" s="15"/>
      <c r="N61" s="77"/>
      <c r="O61" s="64"/>
      <c r="P61" s="57">
        <v>200</v>
      </c>
      <c r="Q61" s="50"/>
      <c r="R61" s="53">
        <v>5</v>
      </c>
      <c r="S61" s="53"/>
      <c r="T61" s="5"/>
      <c r="U61" s="21"/>
      <c r="Y61" s="69"/>
      <c r="Z61" s="228"/>
      <c r="AA61" s="228"/>
      <c r="AB61" s="70"/>
      <c r="AC61" s="71"/>
      <c r="AD61" s="27"/>
      <c r="AE61" s="27"/>
      <c r="AF61" s="47"/>
      <c r="AG61" s="47"/>
      <c r="AH61" s="15"/>
      <c r="AJ61"/>
      <c r="AK61"/>
      <c r="AL61"/>
      <c r="AM61"/>
    </row>
    <row r="62" spans="2:39" ht="18" customHeight="1" thickTop="1" thickBot="1">
      <c r="B62" s="13"/>
      <c r="C62" s="13"/>
      <c r="D62" s="27"/>
      <c r="E62" s="16" t="s">
        <v>333</v>
      </c>
      <c r="F62" s="27"/>
      <c r="G62" s="27"/>
      <c r="H62" s="29">
        <v>200</v>
      </c>
      <c r="I62" s="64"/>
      <c r="J62" s="14"/>
      <c r="K62" s="16"/>
      <c r="L62" s="15"/>
      <c r="M62" s="15"/>
      <c r="N62" s="77"/>
      <c r="O62" s="64"/>
      <c r="P62" s="57"/>
      <c r="Q62" s="50"/>
      <c r="R62" s="53">
        <v>5</v>
      </c>
      <c r="S62" s="53"/>
      <c r="T62" s="5"/>
      <c r="U62" s="21"/>
      <c r="Y62" s="69"/>
      <c r="Z62" s="228"/>
      <c r="AA62" s="228"/>
      <c r="AB62" s="70"/>
      <c r="AC62" s="71"/>
      <c r="AD62" s="27"/>
      <c r="AE62" s="27"/>
      <c r="AF62" s="47"/>
      <c r="AG62" s="47"/>
      <c r="AH62" s="15"/>
      <c r="AJ62"/>
      <c r="AK62"/>
      <c r="AL62"/>
      <c r="AM62"/>
    </row>
    <row r="63" spans="2:39" ht="18" customHeight="1" thickTop="1" thickBot="1">
      <c r="B63" s="13"/>
      <c r="C63" s="13"/>
      <c r="D63" s="27"/>
      <c r="E63" s="16" t="s">
        <v>334</v>
      </c>
      <c r="F63" s="27"/>
      <c r="G63" s="27"/>
      <c r="H63" s="29">
        <v>200</v>
      </c>
      <c r="I63" s="64"/>
      <c r="J63" s="14"/>
      <c r="K63" s="16"/>
      <c r="L63" s="15"/>
      <c r="M63" s="15"/>
      <c r="N63" s="77"/>
      <c r="O63" s="64"/>
      <c r="P63" s="57"/>
      <c r="Q63" s="50"/>
      <c r="R63" s="14">
        <v>5</v>
      </c>
      <c r="S63" s="14"/>
      <c r="T63" s="5"/>
      <c r="U63" s="21"/>
      <c r="Y63" s="69"/>
      <c r="Z63" s="228"/>
      <c r="AA63" s="228"/>
      <c r="AB63" s="70"/>
      <c r="AC63" s="71"/>
      <c r="AD63" s="27"/>
      <c r="AE63" s="27"/>
      <c r="AF63" s="47"/>
      <c r="AG63" s="47"/>
      <c r="AH63" s="15"/>
      <c r="AJ63"/>
      <c r="AK63"/>
      <c r="AL63"/>
      <c r="AM63"/>
    </row>
    <row r="64" spans="2:39" ht="18" customHeight="1" thickTop="1" thickBot="1">
      <c r="D64" s="27"/>
      <c r="E64" s="16" t="s">
        <v>102</v>
      </c>
      <c r="F64" s="27"/>
      <c r="G64" s="27"/>
      <c r="H64" s="29">
        <v>200</v>
      </c>
      <c r="I64" s="64"/>
      <c r="J64" s="14"/>
      <c r="K64" s="16"/>
      <c r="L64" s="15"/>
      <c r="M64" s="15"/>
      <c r="N64" s="77"/>
      <c r="O64" s="64"/>
      <c r="P64" s="57"/>
      <c r="Q64" s="50"/>
      <c r="R64" s="14">
        <v>5</v>
      </c>
      <c r="S64" s="14"/>
      <c r="T64" s="5"/>
      <c r="U64" s="21"/>
      <c r="Y64" s="69"/>
      <c r="Z64" s="228"/>
      <c r="AA64" s="228"/>
      <c r="AB64" s="70"/>
      <c r="AC64" s="71"/>
      <c r="AD64" s="27"/>
      <c r="AE64" s="27"/>
      <c r="AF64" s="47"/>
      <c r="AG64" s="47"/>
      <c r="AH64" s="15"/>
      <c r="AJ64"/>
      <c r="AK64"/>
      <c r="AL64"/>
      <c r="AM64"/>
    </row>
    <row r="65" spans="1:39" ht="19.5" customHeight="1" thickTop="1" thickBot="1">
      <c r="D65" s="27"/>
      <c r="E65" s="16" t="s">
        <v>336</v>
      </c>
      <c r="F65" s="27"/>
      <c r="G65" s="27"/>
      <c r="H65" s="234">
        <v>200</v>
      </c>
      <c r="I65" s="235"/>
      <c r="J65" s="14"/>
      <c r="K65" s="16"/>
      <c r="L65" s="15"/>
      <c r="M65" s="15"/>
      <c r="N65" s="77"/>
      <c r="O65" s="64"/>
      <c r="P65" s="57">
        <v>200</v>
      </c>
      <c r="Q65" s="50"/>
      <c r="R65" s="14">
        <v>7</v>
      </c>
      <c r="S65" s="14"/>
      <c r="T65" s="5"/>
      <c r="U65" s="21"/>
      <c r="Y65" s="69"/>
      <c r="Z65" s="228"/>
      <c r="AA65" s="228"/>
      <c r="AB65" s="70"/>
      <c r="AC65" s="71"/>
      <c r="AD65" s="27"/>
      <c r="AE65" s="27"/>
      <c r="AF65" s="47"/>
      <c r="AG65" s="47"/>
      <c r="AH65" s="15"/>
      <c r="AJ65"/>
      <c r="AK65"/>
      <c r="AL65"/>
      <c r="AM65"/>
    </row>
    <row r="66" spans="1:39" ht="18" customHeight="1" thickTop="1" thickBot="1">
      <c r="D66" s="27"/>
      <c r="E66" s="16" t="s">
        <v>337</v>
      </c>
      <c r="F66" s="27"/>
      <c r="G66" s="27"/>
      <c r="H66" s="29">
        <v>200</v>
      </c>
      <c r="I66" s="64"/>
      <c r="J66" s="14"/>
      <c r="K66" s="16"/>
      <c r="L66" s="15"/>
      <c r="M66" s="15"/>
      <c r="N66" s="77"/>
      <c r="O66" s="64"/>
      <c r="P66" s="57"/>
      <c r="Q66" s="50"/>
      <c r="R66" s="14">
        <v>5</v>
      </c>
      <c r="S66" s="14"/>
      <c r="T66" s="5"/>
      <c r="U66" s="21"/>
      <c r="Y66" s="69"/>
      <c r="Z66" s="228"/>
      <c r="AA66" s="228"/>
      <c r="AB66" s="70"/>
      <c r="AC66" s="71"/>
      <c r="AD66" s="27"/>
      <c r="AE66" s="27"/>
      <c r="AF66" s="47"/>
      <c r="AG66" s="47"/>
      <c r="AH66" s="15"/>
      <c r="AJ66"/>
      <c r="AK66"/>
      <c r="AL66"/>
      <c r="AM66"/>
    </row>
    <row r="67" spans="1:39" ht="19.5" customHeight="1" thickTop="1" thickBot="1">
      <c r="D67" s="27"/>
      <c r="E67" s="16" t="s">
        <v>429</v>
      </c>
      <c r="F67" s="27"/>
      <c r="G67" s="27"/>
      <c r="H67" s="29">
        <v>100</v>
      </c>
      <c r="I67" s="64"/>
      <c r="J67" s="14"/>
      <c r="K67" s="16"/>
      <c r="L67" s="15"/>
      <c r="M67" s="15"/>
      <c r="N67" s="77"/>
      <c r="O67" s="64"/>
      <c r="P67" s="57"/>
      <c r="Q67" s="50"/>
      <c r="R67" s="14">
        <v>5</v>
      </c>
      <c r="S67" s="14"/>
      <c r="T67" s="5"/>
      <c r="U67" s="21"/>
      <c r="Y67" s="69"/>
      <c r="Z67" s="228"/>
      <c r="AA67" s="228"/>
      <c r="AB67" s="70"/>
      <c r="AC67" s="71"/>
      <c r="AD67" s="27"/>
      <c r="AE67" s="27"/>
      <c r="AF67" s="47"/>
      <c r="AG67" s="47"/>
      <c r="AH67" s="15"/>
      <c r="AJ67"/>
      <c r="AK67"/>
      <c r="AL67"/>
      <c r="AM67"/>
    </row>
    <row r="68" spans="1:39" ht="19.5" customHeight="1" thickTop="1" thickBot="1">
      <c r="B68" t="s">
        <v>191</v>
      </c>
      <c r="D68" s="27"/>
      <c r="E68" s="16" t="s">
        <v>434</v>
      </c>
      <c r="F68" s="27"/>
      <c r="G68" s="27"/>
      <c r="H68" s="29">
        <v>300</v>
      </c>
      <c r="I68" s="64"/>
      <c r="J68" s="14"/>
      <c r="K68" s="16"/>
      <c r="L68" s="15"/>
      <c r="M68" s="15"/>
      <c r="N68" s="77"/>
      <c r="O68" s="64"/>
      <c r="P68" s="57"/>
      <c r="Q68" s="50"/>
      <c r="R68" s="14">
        <v>7</v>
      </c>
      <c r="S68" s="14"/>
      <c r="T68" s="5"/>
      <c r="U68" s="21"/>
      <c r="Y68" s="69"/>
      <c r="Z68" s="228"/>
      <c r="AA68" s="228"/>
      <c r="AB68" s="70"/>
      <c r="AC68" s="71"/>
      <c r="AD68" s="27"/>
      <c r="AE68" s="27"/>
      <c r="AF68" s="47"/>
      <c r="AG68" s="47"/>
      <c r="AH68" s="15"/>
      <c r="AJ68"/>
      <c r="AK68"/>
      <c r="AL68"/>
      <c r="AM68"/>
    </row>
    <row r="69" spans="1:39" ht="19.5" customHeight="1" thickTop="1" thickBot="1">
      <c r="D69" s="27"/>
      <c r="E69" s="16" t="s">
        <v>435</v>
      </c>
      <c r="F69" s="27"/>
      <c r="G69" s="27"/>
      <c r="H69" s="29">
        <v>200</v>
      </c>
      <c r="I69" s="64"/>
      <c r="J69" s="14"/>
      <c r="K69" s="16"/>
      <c r="L69" s="15"/>
      <c r="M69" s="15"/>
      <c r="N69" s="77"/>
      <c r="O69" s="64"/>
      <c r="P69" s="57"/>
      <c r="Q69" s="50"/>
      <c r="R69" s="14">
        <v>5</v>
      </c>
      <c r="S69" s="14"/>
      <c r="T69" s="5"/>
      <c r="U69" s="21"/>
      <c r="Y69" s="69"/>
      <c r="Z69" s="228"/>
      <c r="AA69" s="228"/>
      <c r="AB69" s="70"/>
      <c r="AC69" s="71"/>
      <c r="AD69" s="27"/>
      <c r="AE69" s="27"/>
      <c r="AF69" s="47"/>
      <c r="AG69" s="47"/>
      <c r="AH69" s="15"/>
      <c r="AJ69"/>
      <c r="AK69"/>
      <c r="AL69"/>
      <c r="AM69"/>
    </row>
    <row r="70" spans="1:39" ht="19.5" customHeight="1" thickTop="1" thickBot="1">
      <c r="D70" s="27"/>
      <c r="E70" s="16"/>
      <c r="F70" s="27"/>
      <c r="G70" s="27"/>
      <c r="H70" s="29"/>
      <c r="I70" s="64"/>
      <c r="J70" s="14"/>
      <c r="K70" s="16"/>
      <c r="L70" s="15"/>
      <c r="M70" s="15"/>
      <c r="N70" s="77"/>
      <c r="O70" s="64"/>
      <c r="P70" s="57"/>
      <c r="Q70" s="50"/>
      <c r="R70" s="14"/>
      <c r="S70" s="14"/>
      <c r="T70" s="5"/>
      <c r="U70" s="21"/>
      <c r="Y70" s="69"/>
      <c r="Z70" s="228"/>
      <c r="AA70" s="228"/>
      <c r="AB70" s="70"/>
      <c r="AC70" s="71"/>
      <c r="AD70" s="27"/>
      <c r="AE70" s="27"/>
      <c r="AF70" s="47"/>
      <c r="AG70" s="47"/>
      <c r="AH70" s="15"/>
      <c r="AJ70"/>
      <c r="AK70"/>
      <c r="AL70"/>
      <c r="AM70"/>
    </row>
    <row r="71" spans="1:39" ht="19.5" customHeight="1" thickTop="1" thickBot="1">
      <c r="D71" s="27"/>
      <c r="E71" s="16" t="s">
        <v>351</v>
      </c>
      <c r="F71" s="27"/>
      <c r="G71" s="27"/>
      <c r="H71" s="29"/>
      <c r="I71" s="64"/>
      <c r="J71" s="14"/>
      <c r="K71" s="16"/>
      <c r="L71" s="15"/>
      <c r="M71" s="15"/>
      <c r="N71" s="77"/>
      <c r="O71" s="64"/>
      <c r="P71" s="57"/>
      <c r="Q71" s="29"/>
      <c r="R71" s="14"/>
      <c r="S71" s="14"/>
      <c r="T71" s="5"/>
      <c r="U71" s="21"/>
      <c r="Y71" s="69"/>
      <c r="Z71" s="228"/>
      <c r="AA71" s="228"/>
      <c r="AB71" s="70"/>
      <c r="AC71" s="71"/>
      <c r="AD71" s="27"/>
      <c r="AE71" s="27"/>
      <c r="AF71" s="47"/>
      <c r="AG71" s="47"/>
      <c r="AH71" s="15"/>
      <c r="AJ71"/>
      <c r="AK71"/>
      <c r="AL71"/>
      <c r="AM71"/>
    </row>
    <row r="72" spans="1:39" ht="19.5" customHeight="1" thickTop="1" thickBot="1">
      <c r="D72" s="27"/>
      <c r="E72" s="16"/>
      <c r="F72" s="27"/>
      <c r="G72" s="27"/>
      <c r="H72" s="29"/>
      <c r="I72" s="64"/>
      <c r="J72" s="14"/>
      <c r="K72" s="16"/>
      <c r="L72" s="15"/>
      <c r="M72" s="15"/>
      <c r="N72" s="77"/>
      <c r="O72" s="64"/>
      <c r="P72" s="57"/>
      <c r="Q72" s="50"/>
      <c r="R72" s="14"/>
      <c r="S72" s="14"/>
      <c r="T72" s="5"/>
      <c r="U72" s="21"/>
      <c r="Y72" s="69"/>
      <c r="Z72" s="228"/>
      <c r="AA72" s="228"/>
      <c r="AB72" s="70"/>
      <c r="AC72" s="71"/>
      <c r="AD72" s="27"/>
      <c r="AE72" s="27"/>
      <c r="AF72" s="47"/>
      <c r="AG72" s="47"/>
      <c r="AH72" s="15"/>
      <c r="AJ72"/>
      <c r="AK72"/>
      <c r="AL72"/>
      <c r="AM72"/>
    </row>
    <row r="73" spans="1:39" s="13" customFormat="1" ht="20.100000000000001" customHeight="1" thickTop="1" thickBot="1">
      <c r="D73" s="47"/>
      <c r="E73" s="16" t="s">
        <v>47</v>
      </c>
      <c r="F73" s="47"/>
      <c r="G73" s="47"/>
      <c r="H73" s="51"/>
      <c r="I73" s="63"/>
      <c r="J73" s="53"/>
      <c r="K73" s="60"/>
      <c r="L73" s="15"/>
      <c r="M73" s="15"/>
      <c r="N73" s="77"/>
      <c r="O73" s="64"/>
      <c r="P73" s="52"/>
      <c r="Q73" s="51"/>
      <c r="R73" s="53"/>
      <c r="S73" s="53"/>
      <c r="T73" s="53"/>
      <c r="U73" s="52"/>
      <c r="V73" s="15"/>
      <c r="W73" s="15"/>
      <c r="X73" s="15"/>
      <c r="Y73" s="69"/>
      <c r="Z73" s="228"/>
      <c r="AA73" s="228"/>
      <c r="AB73" s="70"/>
      <c r="AC73" s="71"/>
      <c r="AD73" s="47"/>
      <c r="AE73" s="47"/>
      <c r="AF73" s="47"/>
      <c r="AG73" s="47"/>
      <c r="AH73" s="15"/>
      <c r="AI73" s="15"/>
    </row>
    <row r="74" spans="1:39" s="13" customFormat="1" ht="20.100000000000001" customHeight="1" thickTop="1" thickBot="1">
      <c r="D74" s="47"/>
      <c r="E74" s="16" t="s">
        <v>41</v>
      </c>
      <c r="F74" s="47"/>
      <c r="G74" s="47"/>
      <c r="H74" s="51"/>
      <c r="I74" s="63"/>
      <c r="J74" s="53"/>
      <c r="K74" s="60"/>
      <c r="L74" s="15"/>
      <c r="M74" s="15"/>
      <c r="N74" s="77"/>
      <c r="O74" s="64"/>
      <c r="P74" s="52"/>
      <c r="Q74" s="51"/>
      <c r="R74" s="53"/>
      <c r="S74" s="53"/>
      <c r="T74" s="53"/>
      <c r="U74" s="52"/>
      <c r="V74" s="15"/>
      <c r="W74" s="15"/>
      <c r="X74" s="15"/>
      <c r="Y74" s="69"/>
      <c r="Z74" s="228"/>
      <c r="AA74" s="228"/>
      <c r="AB74" s="70"/>
      <c r="AC74" s="71"/>
      <c r="AD74" s="47"/>
      <c r="AE74" s="47"/>
      <c r="AF74" s="47"/>
      <c r="AG74" s="47"/>
      <c r="AH74" s="15"/>
      <c r="AI74" s="15"/>
    </row>
    <row r="75" spans="1:39" s="13" customFormat="1" ht="20.100000000000001" customHeight="1" thickTop="1" thickBot="1">
      <c r="D75" s="27"/>
      <c r="E75" s="16" t="s">
        <v>325</v>
      </c>
      <c r="F75" s="27"/>
      <c r="G75" s="27"/>
      <c r="H75" s="29"/>
      <c r="I75" s="64"/>
      <c r="J75" s="14"/>
      <c r="K75" s="16"/>
      <c r="L75" s="15"/>
      <c r="M75" s="15"/>
      <c r="N75" s="77"/>
      <c r="O75" s="27"/>
      <c r="P75" s="57"/>
      <c r="Q75" s="29"/>
      <c r="R75" s="14"/>
      <c r="S75" s="14"/>
      <c r="T75" s="14"/>
      <c r="U75" s="57"/>
      <c r="V75" s="15"/>
      <c r="W75" s="15"/>
      <c r="X75" s="15"/>
      <c r="Y75" s="69"/>
      <c r="Z75" s="228"/>
      <c r="AA75" s="228"/>
      <c r="AB75" s="70"/>
      <c r="AC75" s="71"/>
      <c r="AD75" s="27"/>
      <c r="AE75" s="27"/>
      <c r="AF75" s="47"/>
      <c r="AG75" s="47"/>
      <c r="AH75" s="15"/>
      <c r="AI75" s="15"/>
    </row>
    <row r="76" spans="1:39" ht="19.5" customHeight="1" thickTop="1" thickBot="1">
      <c r="D76" s="27"/>
      <c r="E76" s="16" t="s">
        <v>153</v>
      </c>
      <c r="F76" s="27"/>
      <c r="G76" s="27"/>
      <c r="H76" s="29"/>
      <c r="I76" s="64"/>
      <c r="J76" s="14"/>
      <c r="K76" s="16"/>
      <c r="L76" s="15"/>
      <c r="M76" s="15"/>
      <c r="N76" s="77"/>
      <c r="O76" s="64"/>
      <c r="P76" s="57"/>
      <c r="Q76" s="50"/>
      <c r="R76" s="14"/>
      <c r="S76" s="14"/>
      <c r="T76" s="5"/>
      <c r="U76" s="21"/>
      <c r="Y76" s="69"/>
      <c r="Z76" s="228"/>
      <c r="AA76" s="228"/>
      <c r="AB76" s="70"/>
      <c r="AC76" s="71"/>
      <c r="AD76" s="27"/>
      <c r="AE76" s="27"/>
      <c r="AF76" s="27"/>
      <c r="AG76" s="27"/>
      <c r="AH76" s="15"/>
      <c r="AJ76"/>
      <c r="AK76"/>
      <c r="AL76"/>
      <c r="AM76"/>
    </row>
    <row r="77" spans="1:39" s="13" customFormat="1" ht="20.100000000000001" customHeight="1" thickTop="1" thickBot="1">
      <c r="A77" s="116"/>
      <c r="D77" s="47"/>
      <c r="E77" s="16" t="s">
        <v>178</v>
      </c>
      <c r="F77" s="47"/>
      <c r="G77" s="47"/>
      <c r="H77" s="51"/>
      <c r="I77" s="63"/>
      <c r="J77" s="53"/>
      <c r="K77" s="60"/>
      <c r="L77" s="15"/>
      <c r="M77" s="15"/>
      <c r="N77" s="77"/>
      <c r="O77" s="64"/>
      <c r="P77" s="52"/>
      <c r="Q77" s="51"/>
      <c r="R77" s="53"/>
      <c r="S77" s="53"/>
      <c r="T77" s="53"/>
      <c r="U77" s="52"/>
      <c r="V77" s="15"/>
      <c r="W77" s="15"/>
      <c r="X77" s="15"/>
      <c r="Y77" s="69"/>
      <c r="Z77" s="228"/>
      <c r="AA77" s="228"/>
      <c r="AB77" s="70"/>
      <c r="AC77" s="71"/>
      <c r="AD77" s="47"/>
      <c r="AE77" s="47"/>
      <c r="AF77" s="47"/>
      <c r="AG77" s="47"/>
      <c r="AH77" s="58"/>
      <c r="AI77" s="15"/>
    </row>
    <row r="78" spans="1:39" ht="20.100000000000001" customHeight="1" thickTop="1" thickBot="1">
      <c r="D78" s="27"/>
      <c r="E78" s="16" t="s">
        <v>138</v>
      </c>
      <c r="F78" s="27"/>
      <c r="G78" s="27"/>
      <c r="H78" s="29"/>
      <c r="I78" s="64"/>
      <c r="J78" s="14"/>
      <c r="K78" s="16"/>
      <c r="L78" s="15"/>
      <c r="M78" s="15"/>
      <c r="N78" s="77"/>
      <c r="O78" s="129"/>
      <c r="P78" s="57"/>
      <c r="Q78" s="29"/>
      <c r="R78" s="14"/>
      <c r="S78" s="14"/>
      <c r="T78" s="5"/>
      <c r="U78" s="21"/>
      <c r="Y78" s="69"/>
      <c r="Z78" s="228"/>
      <c r="AA78" s="228"/>
      <c r="AB78" s="70"/>
      <c r="AC78" s="71"/>
      <c r="AD78" s="27"/>
      <c r="AE78" s="27"/>
      <c r="AF78" s="27"/>
      <c r="AG78" s="27"/>
      <c r="AH78" s="15"/>
      <c r="AJ78"/>
      <c r="AK78"/>
      <c r="AL78"/>
      <c r="AM78"/>
    </row>
    <row r="79" spans="1:39" s="13" customFormat="1" ht="20.100000000000001" customHeight="1" thickTop="1" thickBot="1">
      <c r="D79" s="47"/>
      <c r="E79" s="16" t="s">
        <v>73</v>
      </c>
      <c r="F79" s="47"/>
      <c r="G79" s="47"/>
      <c r="H79" s="51"/>
      <c r="I79" s="63"/>
      <c r="J79" s="53"/>
      <c r="K79" s="60"/>
      <c r="L79" s="15"/>
      <c r="M79" s="15"/>
      <c r="N79" s="77"/>
      <c r="O79" s="64"/>
      <c r="P79" s="52"/>
      <c r="Q79" s="51"/>
      <c r="R79" s="53"/>
      <c r="S79" s="53"/>
      <c r="T79" s="53"/>
      <c r="U79" s="52"/>
      <c r="V79" s="15"/>
      <c r="W79" s="15"/>
      <c r="X79" s="15"/>
      <c r="Y79" s="69"/>
      <c r="Z79" s="228"/>
      <c r="AA79" s="228"/>
      <c r="AB79" s="70"/>
      <c r="AC79" s="71"/>
      <c r="AD79" s="47"/>
      <c r="AE79" s="47"/>
      <c r="AF79" s="47"/>
      <c r="AG79" s="47"/>
      <c r="AH79" s="15"/>
      <c r="AI79" s="15"/>
    </row>
    <row r="80" spans="1:39" ht="19.5" customHeight="1" thickTop="1" thickBot="1">
      <c r="D80" s="27"/>
      <c r="E80" s="16" t="s">
        <v>340</v>
      </c>
      <c r="F80" s="27"/>
      <c r="G80" s="27"/>
      <c r="H80" s="29"/>
      <c r="I80" s="64"/>
      <c r="J80" s="14"/>
      <c r="K80" s="16"/>
      <c r="L80" s="15"/>
      <c r="M80" s="15"/>
      <c r="N80" s="77"/>
      <c r="O80" s="64"/>
      <c r="P80" s="57"/>
      <c r="Q80" s="50"/>
      <c r="R80" s="14"/>
      <c r="S80" s="14"/>
      <c r="T80" s="5"/>
      <c r="U80" s="21"/>
      <c r="Y80" s="69"/>
      <c r="Z80" s="228"/>
      <c r="AA80" s="228"/>
      <c r="AB80" s="70"/>
      <c r="AC80" s="71"/>
      <c r="AD80" s="27"/>
      <c r="AE80" s="27"/>
      <c r="AF80" s="47"/>
      <c r="AG80" s="47"/>
      <c r="AH80" s="15"/>
      <c r="AJ80"/>
      <c r="AK80"/>
      <c r="AL80"/>
      <c r="AM80"/>
    </row>
    <row r="81" spans="1:39" ht="19.5" customHeight="1" thickTop="1" thickBot="1">
      <c r="D81" s="27"/>
      <c r="E81" s="16" t="s">
        <v>362</v>
      </c>
      <c r="F81" s="27"/>
      <c r="G81" s="27"/>
      <c r="H81" s="29"/>
      <c r="I81" s="64"/>
      <c r="J81" s="14"/>
      <c r="K81" s="16"/>
      <c r="L81" s="15"/>
      <c r="M81" s="15"/>
      <c r="N81" s="77"/>
      <c r="O81" s="64"/>
      <c r="P81" s="57"/>
      <c r="Q81" s="221"/>
      <c r="R81" s="14"/>
      <c r="S81" s="14"/>
      <c r="T81" s="65"/>
      <c r="U81" s="21"/>
      <c r="Y81" s="69"/>
      <c r="Z81" s="228"/>
      <c r="AA81" s="228"/>
      <c r="AB81" s="70"/>
      <c r="AC81" s="71"/>
      <c r="AD81" s="27"/>
      <c r="AE81" s="27"/>
      <c r="AF81" s="47"/>
      <c r="AG81" s="47"/>
      <c r="AH81" s="15"/>
      <c r="AJ81"/>
      <c r="AK81"/>
      <c r="AL81"/>
      <c r="AM81"/>
    </row>
    <row r="82" spans="1:39" ht="19.5" customHeight="1" thickTop="1" thickBot="1">
      <c r="D82" s="27"/>
      <c r="E82" s="16" t="s">
        <v>364</v>
      </c>
      <c r="F82" s="27"/>
      <c r="G82" s="27"/>
      <c r="H82" s="29"/>
      <c r="I82" s="64"/>
      <c r="J82" s="14"/>
      <c r="K82" s="16"/>
      <c r="L82" s="15"/>
      <c r="M82" s="15"/>
      <c r="N82" s="77"/>
      <c r="O82" s="64"/>
      <c r="P82" s="57"/>
      <c r="Q82" s="221"/>
      <c r="R82" s="14"/>
      <c r="S82" s="14"/>
      <c r="T82" s="65"/>
      <c r="U82" s="21"/>
      <c r="Y82" s="69"/>
      <c r="Z82" s="228"/>
      <c r="AA82" s="228"/>
      <c r="AB82" s="70"/>
      <c r="AC82" s="71"/>
      <c r="AD82" s="27"/>
      <c r="AE82" s="27"/>
      <c r="AF82" s="47"/>
      <c r="AG82" s="47"/>
      <c r="AH82" s="15"/>
      <c r="AJ82"/>
      <c r="AK82"/>
      <c r="AL82"/>
      <c r="AM82"/>
    </row>
    <row r="83" spans="1:39" s="13" customFormat="1" ht="20.100000000000001" customHeight="1" thickTop="1" thickBot="1">
      <c r="A83" s="116"/>
      <c r="D83" s="47"/>
      <c r="E83" s="16"/>
      <c r="F83" s="47"/>
      <c r="G83" s="47"/>
      <c r="H83" s="51"/>
      <c r="I83" s="63"/>
      <c r="J83" s="53"/>
      <c r="K83" s="60"/>
      <c r="L83" s="15"/>
      <c r="M83" s="15"/>
      <c r="N83" s="77"/>
      <c r="O83" s="64"/>
      <c r="P83" s="52"/>
      <c r="Q83" s="51"/>
      <c r="R83" s="53"/>
      <c r="S83" s="53"/>
      <c r="T83" s="53"/>
      <c r="U83" s="52"/>
      <c r="V83" s="15"/>
      <c r="W83" s="15"/>
      <c r="X83" s="15"/>
      <c r="Y83" s="69"/>
      <c r="Z83" s="228"/>
      <c r="AA83" s="228"/>
      <c r="AB83" s="70"/>
      <c r="AC83" s="71"/>
      <c r="AD83" s="47"/>
      <c r="AE83" s="47"/>
      <c r="AF83" s="47"/>
      <c r="AG83" s="47"/>
      <c r="AH83" s="58"/>
      <c r="AI83" s="15"/>
    </row>
    <row r="84" spans="1:39" s="13" customFormat="1" ht="20.100000000000001" customHeight="1" thickTop="1" thickBot="1">
      <c r="D84" s="47"/>
      <c r="E84" s="16"/>
      <c r="F84" s="47"/>
      <c r="G84" s="47"/>
      <c r="H84" s="51"/>
      <c r="I84" s="63"/>
      <c r="J84" s="53"/>
      <c r="K84" s="60"/>
      <c r="L84" s="15"/>
      <c r="M84" s="15"/>
      <c r="N84" s="77"/>
      <c r="O84" s="64"/>
      <c r="P84" s="52"/>
      <c r="Q84" s="51"/>
      <c r="R84" s="53"/>
      <c r="S84" s="53"/>
      <c r="T84" s="53"/>
      <c r="U84" s="52"/>
      <c r="V84" s="15"/>
      <c r="W84" s="15"/>
      <c r="X84" s="15"/>
      <c r="Y84" s="69"/>
      <c r="Z84" s="228"/>
      <c r="AA84" s="228"/>
      <c r="AB84" s="70"/>
      <c r="AC84" s="71"/>
      <c r="AD84" s="47"/>
      <c r="AE84" s="47"/>
      <c r="AF84" s="47"/>
      <c r="AG84" s="47"/>
      <c r="AH84" s="15"/>
      <c r="AI84" s="15"/>
    </row>
    <row r="85" spans="1:39" s="13" customFormat="1" ht="20.100000000000001" customHeight="1" thickTop="1" thickBot="1">
      <c r="D85" s="15"/>
      <c r="E85" s="16"/>
      <c r="F85" s="15"/>
      <c r="G85" s="15"/>
      <c r="J85" s="51"/>
      <c r="K85" s="52"/>
      <c r="L85" s="53"/>
      <c r="M85" s="60"/>
      <c r="N85" s="60"/>
      <c r="O85" s="15"/>
      <c r="P85" s="77"/>
      <c r="Q85" s="64"/>
      <c r="R85" s="52"/>
      <c r="S85" s="51"/>
      <c r="T85" s="53"/>
      <c r="U85" s="53"/>
      <c r="V85" s="53"/>
      <c r="W85" s="52"/>
      <c r="X85" s="15"/>
      <c r="Y85" s="15"/>
      <c r="Z85" s="15"/>
      <c r="AA85" s="69"/>
      <c r="AB85" s="228"/>
      <c r="AC85" s="228"/>
      <c r="AD85" s="70"/>
      <c r="AE85" s="71"/>
      <c r="AF85" s="47"/>
      <c r="AG85" s="47"/>
      <c r="AH85" s="47"/>
      <c r="AI85" s="47"/>
      <c r="AJ85" s="15"/>
      <c r="AK85" s="15"/>
    </row>
    <row r="86" spans="1:39" s="13" customFormat="1" ht="20.100000000000001" customHeight="1" thickTop="1" thickBot="1">
      <c r="D86" s="15"/>
      <c r="E86" s="16"/>
      <c r="F86" s="15"/>
      <c r="G86" s="15"/>
      <c r="H86" s="13">
        <f>SUM(H41:H85)</f>
        <v>2000</v>
      </c>
      <c r="J86" s="51"/>
      <c r="K86" s="51"/>
      <c r="L86" s="51"/>
      <c r="M86" s="51"/>
      <c r="N86" s="51"/>
      <c r="O86" s="51"/>
      <c r="P86" s="13">
        <f>SUM(P41:P85)</f>
        <v>1200</v>
      </c>
      <c r="Q86" s="51">
        <f>SUM(O45:O84)</f>
        <v>300</v>
      </c>
      <c r="R86" s="51">
        <f>SUM(P45:P84)</f>
        <v>1200</v>
      </c>
      <c r="S86" s="51">
        <f>SUM(S40:S85)</f>
        <v>0</v>
      </c>
      <c r="T86" s="53"/>
      <c r="U86" s="53"/>
      <c r="V86" s="53"/>
      <c r="W86" s="52"/>
      <c r="X86" s="15"/>
      <c r="Y86" s="15"/>
      <c r="Z86" s="15"/>
      <c r="AA86" s="69"/>
      <c r="AB86" s="228"/>
      <c r="AC86" s="228"/>
      <c r="AD86" s="70"/>
      <c r="AE86" s="71"/>
      <c r="AF86" s="47"/>
      <c r="AG86" s="47"/>
      <c r="AH86" s="47"/>
      <c r="AI86" s="47"/>
      <c r="AJ86" s="15"/>
      <c r="AK86" s="15"/>
    </row>
    <row r="87" spans="1:39" ht="19.5" customHeight="1" thickTop="1" thickBot="1">
      <c r="E87" s="16"/>
      <c r="J87" s="20"/>
      <c r="K87" s="21"/>
      <c r="L87" s="5"/>
      <c r="M87" s="61"/>
      <c r="N87" s="61"/>
      <c r="P87" s="77"/>
      <c r="Q87" s="65"/>
      <c r="R87" s="21"/>
      <c r="S87" s="50"/>
      <c r="T87" s="14"/>
      <c r="U87" s="14"/>
      <c r="V87" s="5"/>
      <c r="W87" s="21"/>
      <c r="AA87" s="69"/>
      <c r="AB87" s="228"/>
      <c r="AC87" s="228"/>
      <c r="AD87" s="70"/>
      <c r="AE87" s="71"/>
      <c r="AF87" s="27"/>
      <c r="AG87" s="27"/>
      <c r="AH87" s="27"/>
      <c r="AI87" s="27"/>
      <c r="AK87" s="2"/>
      <c r="AL87"/>
      <c r="AM87"/>
    </row>
    <row r="88" spans="1:39" s="13" customFormat="1" ht="20.100000000000001" customHeight="1" thickTop="1" thickBot="1">
      <c r="A88" s="116"/>
      <c r="D88" s="15"/>
      <c r="E88" s="16" t="s">
        <v>372</v>
      </c>
      <c r="F88" s="15"/>
      <c r="G88" s="15"/>
      <c r="J88" s="51"/>
      <c r="K88" s="52"/>
      <c r="L88" s="53"/>
      <c r="M88" s="60"/>
      <c r="N88" s="60"/>
      <c r="O88" s="15"/>
      <c r="P88" s="77"/>
      <c r="Q88" s="64"/>
      <c r="R88" s="52"/>
      <c r="S88" s="51"/>
      <c r="T88" s="53"/>
      <c r="U88" s="53"/>
      <c r="V88" s="53"/>
      <c r="W88" s="52"/>
      <c r="X88" s="15"/>
      <c r="Y88" s="15"/>
      <c r="Z88" s="15"/>
      <c r="AA88" s="69"/>
      <c r="AB88" s="228"/>
      <c r="AC88" s="228"/>
      <c r="AD88" s="70"/>
      <c r="AE88" s="71"/>
      <c r="AF88" s="47"/>
      <c r="AG88" s="47"/>
      <c r="AH88" s="47"/>
      <c r="AI88" s="47"/>
      <c r="AJ88" s="58"/>
      <c r="AK88" s="15"/>
    </row>
    <row r="89" spans="1:39" s="13" customFormat="1" ht="20.100000000000001" customHeight="1" thickTop="1" thickBot="1">
      <c r="A89" s="116"/>
      <c r="D89" s="15"/>
      <c r="E89" s="16" t="s">
        <v>8</v>
      </c>
      <c r="F89" s="15"/>
      <c r="G89" s="15"/>
      <c r="J89" s="51"/>
      <c r="K89" s="52"/>
      <c r="L89" s="53"/>
      <c r="M89" s="60"/>
      <c r="N89" s="60"/>
      <c r="O89" s="15"/>
      <c r="P89" s="77"/>
      <c r="Q89" s="64"/>
      <c r="R89" s="52"/>
      <c r="S89" s="51"/>
      <c r="T89" s="53"/>
      <c r="U89" s="53"/>
      <c r="V89" s="53"/>
      <c r="W89" s="52"/>
      <c r="X89" s="15"/>
      <c r="Y89" s="15"/>
      <c r="Z89" s="15"/>
      <c r="AA89" s="69"/>
      <c r="AB89" s="228"/>
      <c r="AC89" s="228"/>
      <c r="AD89" s="70"/>
      <c r="AE89" s="71"/>
      <c r="AF89" s="47"/>
      <c r="AG89" s="47"/>
      <c r="AH89" s="47"/>
      <c r="AI89" s="47"/>
      <c r="AJ89" s="58"/>
      <c r="AK89" s="15"/>
    </row>
    <row r="90" spans="1:39" s="13" customFormat="1" ht="20.100000000000001" customHeight="1" thickTop="1" thickBot="1">
      <c r="A90" s="116"/>
      <c r="D90" s="15"/>
      <c r="E90" s="16" t="s">
        <v>177</v>
      </c>
      <c r="F90" s="15"/>
      <c r="G90" s="15"/>
      <c r="J90" s="51"/>
      <c r="K90" s="52"/>
      <c r="L90" s="53"/>
      <c r="M90" s="60"/>
      <c r="N90" s="60"/>
      <c r="O90" s="15"/>
      <c r="P90" s="77"/>
      <c r="Q90" s="64"/>
      <c r="R90" s="52"/>
      <c r="S90" s="51"/>
      <c r="T90" s="53"/>
      <c r="U90" s="53"/>
      <c r="V90" s="53"/>
      <c r="W90" s="52"/>
      <c r="X90" s="15"/>
      <c r="Y90" s="15"/>
      <c r="Z90" s="15"/>
      <c r="AA90" s="69"/>
      <c r="AB90" s="228"/>
      <c r="AC90" s="228"/>
      <c r="AD90" s="70"/>
      <c r="AE90" s="71"/>
      <c r="AF90" s="47"/>
      <c r="AG90" s="47"/>
      <c r="AH90" s="47"/>
      <c r="AI90" s="47"/>
      <c r="AJ90" s="58"/>
      <c r="AK90" s="15"/>
    </row>
    <row r="91" spans="1:39" s="13" customFormat="1" ht="20.100000000000001" customHeight="1" thickTop="1" thickBot="1">
      <c r="A91" s="116"/>
      <c r="D91" s="223"/>
      <c r="E91" s="117" t="s">
        <v>1</v>
      </c>
      <c r="F91" s="223"/>
      <c r="G91" s="223"/>
      <c r="J91" s="118"/>
      <c r="K91" s="119"/>
      <c r="L91" s="120"/>
      <c r="M91" s="121"/>
      <c r="N91" s="121"/>
      <c r="O91" s="223"/>
      <c r="P91" s="122"/>
      <c r="Q91" s="123"/>
      <c r="R91" s="119"/>
      <c r="S91" s="118"/>
      <c r="T91" s="120"/>
      <c r="U91" s="120"/>
      <c r="V91" s="120"/>
      <c r="W91" s="119"/>
      <c r="X91" s="223"/>
      <c r="Y91" s="223"/>
      <c r="Z91" s="223"/>
      <c r="AA91" s="124"/>
      <c r="AB91" s="231"/>
      <c r="AC91" s="231"/>
      <c r="AD91" s="125"/>
      <c r="AE91" s="126"/>
      <c r="AF91" s="127"/>
      <c r="AG91" s="127"/>
      <c r="AH91" s="127"/>
      <c r="AI91" s="127"/>
      <c r="AJ91" s="128"/>
      <c r="AK91" s="15"/>
    </row>
    <row r="92" spans="1:39" s="13" customFormat="1" ht="20.100000000000001" customHeight="1" thickTop="1" thickBot="1">
      <c r="A92" s="116"/>
      <c r="D92" s="15"/>
      <c r="E92" s="16" t="s">
        <v>179</v>
      </c>
      <c r="F92" s="15"/>
      <c r="G92" s="15"/>
      <c r="J92" s="51"/>
      <c r="K92" s="52"/>
      <c r="L92" s="53"/>
      <c r="M92" s="60"/>
      <c r="N92" s="60"/>
      <c r="O92" s="15"/>
      <c r="P92" s="77"/>
      <c r="Q92" s="64"/>
      <c r="R92" s="52"/>
      <c r="S92" s="51"/>
      <c r="T92" s="53"/>
      <c r="U92" s="53"/>
      <c r="V92" s="53"/>
      <c r="W92" s="52"/>
      <c r="X92" s="15"/>
      <c r="Y92" s="15"/>
      <c r="Z92" s="15"/>
      <c r="AA92" s="69"/>
      <c r="AB92" s="228"/>
      <c r="AC92" s="228"/>
      <c r="AD92" s="70"/>
      <c r="AE92" s="71"/>
      <c r="AF92" s="47"/>
      <c r="AG92" s="47"/>
      <c r="AH92" s="47"/>
      <c r="AI92" s="47"/>
      <c r="AJ92" s="58"/>
      <c r="AK92" s="15"/>
    </row>
    <row r="93" spans="1:39" s="13" customFormat="1" ht="20.100000000000001" customHeight="1" thickTop="1" thickBot="1">
      <c r="A93" s="116"/>
      <c r="D93" s="15"/>
      <c r="E93" s="16" t="s">
        <v>0</v>
      </c>
      <c r="F93" s="15"/>
      <c r="G93" s="15"/>
      <c r="J93" s="51"/>
      <c r="K93" s="52"/>
      <c r="L93" s="53"/>
      <c r="M93" s="60"/>
      <c r="N93" s="60"/>
      <c r="O93" s="15"/>
      <c r="P93" s="77"/>
      <c r="Q93" s="63"/>
      <c r="R93" s="52"/>
      <c r="S93" s="51"/>
      <c r="T93" s="53"/>
      <c r="U93" s="53"/>
      <c r="V93" s="53"/>
      <c r="W93" s="52"/>
      <c r="X93" s="15"/>
      <c r="Y93" s="15"/>
      <c r="Z93" s="15"/>
      <c r="AA93" s="69"/>
      <c r="AB93" s="228"/>
      <c r="AC93" s="228"/>
      <c r="AD93" s="70"/>
      <c r="AE93" s="71"/>
      <c r="AF93" s="47"/>
      <c r="AG93" s="47"/>
      <c r="AH93" s="47"/>
      <c r="AI93" s="47"/>
      <c r="AJ93" s="58"/>
      <c r="AK93" s="15"/>
    </row>
    <row r="94" spans="1:39" s="13" customFormat="1" ht="20.100000000000001" customHeight="1" thickTop="1" thickBot="1">
      <c r="A94" s="116"/>
      <c r="D94" s="15"/>
      <c r="E94" s="16" t="s">
        <v>184</v>
      </c>
      <c r="F94" s="15"/>
      <c r="G94" s="15"/>
      <c r="J94" s="51"/>
      <c r="K94" s="52"/>
      <c r="L94" s="53"/>
      <c r="M94" s="60"/>
      <c r="N94" s="60"/>
      <c r="O94" s="15"/>
      <c r="P94" s="77"/>
      <c r="Q94" s="64"/>
      <c r="R94" s="52"/>
      <c r="S94" s="51"/>
      <c r="T94" s="53"/>
      <c r="U94" s="53"/>
      <c r="V94" s="53"/>
      <c r="W94" s="52"/>
      <c r="X94" s="15"/>
      <c r="Y94" s="15"/>
      <c r="Z94" s="15"/>
      <c r="AA94" s="69"/>
      <c r="AB94" s="228"/>
      <c r="AC94" s="228"/>
      <c r="AD94" s="70"/>
      <c r="AE94" s="71"/>
      <c r="AF94" s="47"/>
      <c r="AG94" s="47"/>
      <c r="AH94" s="47"/>
      <c r="AI94" s="47"/>
      <c r="AJ94" s="58"/>
      <c r="AK94" s="15"/>
    </row>
    <row r="95" spans="1:39" s="2" customFormat="1" ht="17.25" thickTop="1">
      <c r="A95"/>
      <c r="B95"/>
      <c r="C95"/>
      <c r="D95" s="15"/>
      <c r="E95" s="159" t="s">
        <v>349</v>
      </c>
      <c r="F95" s="15"/>
      <c r="G95" s="15"/>
      <c r="T95" s="15"/>
      <c r="U95" s="15"/>
      <c r="AK95" s="15"/>
    </row>
    <row r="96" spans="1:39" s="2" customFormat="1">
      <c r="A96"/>
      <c r="B96"/>
      <c r="C96"/>
      <c r="T96" s="15"/>
      <c r="U96" s="15"/>
      <c r="AK96" s="15"/>
    </row>
    <row r="97" spans="1:37" s="2" customFormat="1">
      <c r="A97"/>
      <c r="B97"/>
      <c r="C97"/>
      <c r="T97" s="15"/>
      <c r="U97" s="15"/>
      <c r="AK97" s="15"/>
    </row>
    <row r="98" spans="1:37" s="2" customFormat="1">
      <c r="A98"/>
      <c r="B98"/>
      <c r="C98"/>
      <c r="T98" s="15"/>
      <c r="U98" s="15"/>
      <c r="AK98" s="15"/>
    </row>
    <row r="99" spans="1:37" s="2" customFormat="1">
      <c r="A99"/>
      <c r="B99"/>
      <c r="C99"/>
      <c r="T99" s="15"/>
      <c r="U99" s="15"/>
      <c r="AK99" s="15"/>
    </row>
    <row r="100" spans="1:37" s="2" customFormat="1">
      <c r="A100"/>
      <c r="B100"/>
      <c r="C100"/>
      <c r="T100" s="15"/>
      <c r="U100" s="15"/>
      <c r="AK100" s="15"/>
    </row>
    <row r="101" spans="1:37" s="2" customFormat="1">
      <c r="A101"/>
      <c r="B101"/>
      <c r="C101"/>
      <c r="D101" s="15"/>
      <c r="E101" s="15" t="s">
        <v>125</v>
      </c>
      <c r="F101" s="15"/>
      <c r="G101" s="15"/>
      <c r="L101" s="2">
        <f>AJ101/1.1</f>
        <v>58799.999999999993</v>
      </c>
      <c r="N101" s="40"/>
      <c r="O101" s="40"/>
      <c r="P101" s="15"/>
      <c r="T101" s="15"/>
      <c r="U101" s="15"/>
      <c r="AF101" s="15"/>
      <c r="AG101" s="15"/>
      <c r="AJ101" s="15">
        <v>64680</v>
      </c>
      <c r="AK101" s="15"/>
    </row>
    <row r="102" spans="1:37" s="2" customFormat="1">
      <c r="A102"/>
      <c r="B102"/>
      <c r="C102"/>
      <c r="D102" s="15"/>
      <c r="E102" s="15" t="s">
        <v>49</v>
      </c>
      <c r="F102" s="15"/>
      <c r="G102" s="15"/>
      <c r="N102" s="40"/>
      <c r="O102" s="40"/>
      <c r="P102" s="15"/>
      <c r="T102" s="15"/>
      <c r="U102" s="15"/>
      <c r="V102" s="15" t="s">
        <v>174</v>
      </c>
      <c r="AF102" s="15"/>
      <c r="AG102" s="15"/>
      <c r="AJ102" s="15"/>
      <c r="AK102" s="15"/>
    </row>
    <row r="104" spans="1:37" s="2" customFormat="1">
      <c r="A104"/>
      <c r="B104"/>
      <c r="C104"/>
      <c r="D104" s="15"/>
      <c r="E104" s="15"/>
      <c r="F104" s="15"/>
      <c r="G104" s="15"/>
      <c r="P104" s="15"/>
      <c r="T104" s="15"/>
      <c r="U104" s="15"/>
      <c r="AF104" s="15"/>
      <c r="AG104" s="15"/>
      <c r="AJ104" s="15"/>
      <c r="AK104" s="15"/>
    </row>
    <row r="105" spans="1:37" s="2" customFormat="1">
      <c r="A105"/>
      <c r="B105"/>
      <c r="C105"/>
      <c r="D105" s="15"/>
      <c r="E105" s="15" t="s">
        <v>134</v>
      </c>
      <c r="F105" s="15"/>
      <c r="G105" s="15"/>
      <c r="P105" s="15"/>
      <c r="T105" s="15"/>
      <c r="U105" s="15"/>
      <c r="AF105" s="15"/>
      <c r="AG105" s="15"/>
      <c r="AJ105" s="15"/>
      <c r="AK105" s="15"/>
    </row>
    <row r="106" spans="1:37" s="2" customFormat="1">
      <c r="A106"/>
      <c r="B106"/>
      <c r="C106"/>
      <c r="D106" s="15"/>
      <c r="E106" s="15" t="s">
        <v>135</v>
      </c>
      <c r="F106" s="15"/>
      <c r="G106" s="15"/>
      <c r="P106" s="15"/>
      <c r="T106" s="15"/>
      <c r="U106" s="15"/>
      <c r="AF106" s="15"/>
      <c r="AG106" s="15"/>
      <c r="AJ106" s="15"/>
      <c r="AK106" s="15"/>
    </row>
    <row r="107" spans="1:37" s="2" customFormat="1">
      <c r="A107"/>
      <c r="B107"/>
      <c r="C107"/>
      <c r="D107" s="15"/>
      <c r="E107" s="15"/>
      <c r="F107" s="15"/>
      <c r="G107" s="15"/>
      <c r="L107" s="40"/>
      <c r="M107" s="40"/>
      <c r="P107" s="15"/>
      <c r="T107" s="15"/>
      <c r="U107" s="15"/>
      <c r="AF107" s="15"/>
      <c r="AG107" s="15"/>
      <c r="AJ107" s="15"/>
      <c r="AK107" s="15"/>
    </row>
    <row r="108" spans="1:37" s="2" customFormat="1">
      <c r="A108"/>
      <c r="B108"/>
      <c r="C108"/>
      <c r="D108" s="15"/>
      <c r="E108" s="15" t="s">
        <v>69</v>
      </c>
      <c r="F108" s="15"/>
      <c r="G108" s="15"/>
      <c r="P108" s="15"/>
      <c r="T108" s="15"/>
      <c r="U108" s="15"/>
      <c r="AF108" s="15"/>
      <c r="AG108" s="15"/>
      <c r="AJ108" s="15"/>
      <c r="AK108" s="15"/>
    </row>
    <row r="109" spans="1:37" s="2" customFormat="1">
      <c r="A109"/>
      <c r="B109"/>
      <c r="C109"/>
      <c r="D109" s="15"/>
      <c r="E109" s="15"/>
      <c r="F109" s="15"/>
      <c r="G109" s="15"/>
      <c r="L109" s="41"/>
      <c r="M109" s="41"/>
      <c r="P109" s="15"/>
      <c r="T109" s="15"/>
      <c r="U109" s="15"/>
      <c r="AF109" s="15"/>
      <c r="AG109" s="15"/>
      <c r="AJ109" s="15"/>
      <c r="AK109" s="15"/>
    </row>
    <row r="110" spans="1:37" s="2" customFormat="1">
      <c r="A110"/>
      <c r="B110"/>
      <c r="C110"/>
      <c r="D110" s="15"/>
      <c r="E110" s="15"/>
      <c r="F110" s="15"/>
      <c r="G110" s="15"/>
      <c r="P110" s="15"/>
      <c r="T110" s="15"/>
      <c r="U110" s="15"/>
      <c r="AF110" s="15"/>
      <c r="AG110" s="15"/>
      <c r="AJ110" s="15"/>
      <c r="AK110" s="15"/>
    </row>
    <row r="111" spans="1:37" s="2" customFormat="1">
      <c r="A111"/>
      <c r="B111"/>
      <c r="C111"/>
      <c r="D111" s="15"/>
      <c r="E111" s="15" t="s">
        <v>133</v>
      </c>
      <c r="F111" s="15"/>
      <c r="G111" s="15"/>
      <c r="P111" s="15"/>
      <c r="T111" s="15"/>
      <c r="U111" s="15"/>
      <c r="AF111" s="15"/>
      <c r="AG111" s="15"/>
      <c r="AJ111" s="15"/>
      <c r="AK111" s="15"/>
    </row>
    <row r="112" spans="1:37" s="2" customFormat="1">
      <c r="A112"/>
      <c r="B112"/>
      <c r="C112"/>
      <c r="D112" s="15"/>
      <c r="E112" s="15" t="s">
        <v>131</v>
      </c>
      <c r="F112" s="15"/>
      <c r="G112" s="15"/>
      <c r="P112" s="15"/>
      <c r="T112" s="15"/>
      <c r="U112" s="15"/>
      <c r="AF112" s="15"/>
      <c r="AG112" s="15"/>
      <c r="AJ112" s="15"/>
      <c r="AK112" s="15"/>
    </row>
    <row r="113" spans="1:37" s="2" customFormat="1">
      <c r="A113"/>
      <c r="B113"/>
      <c r="C113"/>
      <c r="D113" s="15"/>
      <c r="E113" s="15" t="s">
        <v>132</v>
      </c>
      <c r="F113" s="15"/>
      <c r="G113" s="15"/>
      <c r="P113" s="15"/>
      <c r="T113" s="15"/>
      <c r="U113" s="15"/>
      <c r="AF113" s="15"/>
      <c r="AG113" s="15"/>
      <c r="AJ113" s="15"/>
      <c r="AK113" s="15"/>
    </row>
    <row r="114" spans="1:37" s="2" customFormat="1">
      <c r="A114"/>
      <c r="B114"/>
      <c r="C114"/>
      <c r="D114" s="15"/>
      <c r="E114" s="15"/>
      <c r="F114" s="15"/>
      <c r="G114" s="15"/>
      <c r="L114" s="42"/>
      <c r="M114" s="42"/>
      <c r="P114" s="15"/>
      <c r="T114" s="15"/>
      <c r="U114" s="15"/>
      <c r="AF114" s="15"/>
      <c r="AG114" s="15"/>
      <c r="AJ114" s="15"/>
      <c r="AK114" s="15"/>
    </row>
  </sheetData>
  <phoneticPr fontId="1" type="noConversion"/>
  <hyperlinks>
    <hyperlink ref="F16" r:id="rId1" xr:uid="{15FC8FE9-A0D7-4F50-A17E-9A0D1C8F02A1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134A-9BBA-49C6-817D-899DEE5A7D8E}">
  <dimension ref="A1:AD113"/>
  <sheetViews>
    <sheetView zoomScale="85" zoomScaleNormal="85" workbookViewId="0">
      <pane ySplit="3" topLeftCell="A4" activePane="bottomLeft" state="frozen"/>
      <selection activeCell="D1" sqref="D1"/>
      <selection pane="bottomLeft" activeCell="K1" sqref="K1:K1048576"/>
    </sheetView>
  </sheetViews>
  <sheetFormatPr defaultRowHeight="16.5"/>
  <cols>
    <col min="2" max="2" width="6" customWidth="1"/>
    <col min="3" max="4" width="4.5" customWidth="1"/>
    <col min="5" max="5" width="7.375" bestFit="1" customWidth="1"/>
    <col min="6" max="6" width="9.875" customWidth="1"/>
    <col min="7" max="7" width="20.25" style="15" bestFit="1" customWidth="1"/>
    <col min="8" max="9" width="20.25" style="15" hidden="1" customWidth="1"/>
    <col min="10" max="11" width="9" customWidth="1"/>
    <col min="12" max="12" width="14" style="2" customWidth="1"/>
    <col min="13" max="13" width="10.875" style="2" customWidth="1"/>
    <col min="14" max="14" width="8.875" style="15" customWidth="1"/>
    <col min="15" max="15" width="13.5" style="2" customWidth="1"/>
    <col min="16" max="16" width="9.25" style="2" customWidth="1"/>
    <col min="17" max="17" width="10" style="2" customWidth="1"/>
    <col min="18" max="18" width="8.25" style="15" bestFit="1" customWidth="1"/>
    <col min="19" max="19" width="8.25" style="15" customWidth="1"/>
    <col min="20" max="23" width="9" style="2"/>
    <col min="24" max="24" width="12.25" style="2" customWidth="1"/>
    <col min="25" max="25" width="9" style="2" customWidth="1"/>
    <col min="26" max="26" width="9" style="2"/>
    <col min="27" max="28" width="15.125" style="15" customWidth="1"/>
    <col min="29" max="29" width="9" style="2" customWidth="1"/>
    <col min="30" max="30" width="9" style="2"/>
  </cols>
  <sheetData>
    <row r="1" spans="1:30">
      <c r="J1" s="2"/>
      <c r="K1" s="2"/>
      <c r="Y1" s="15"/>
      <c r="Z1" s="15"/>
      <c r="AA1" s="2"/>
      <c r="AB1" s="2"/>
      <c r="AC1"/>
      <c r="AD1"/>
    </row>
    <row r="2" spans="1:30" ht="17.25" thickBot="1">
      <c r="J2" s="2"/>
      <c r="K2" s="2"/>
      <c r="Y2" s="15"/>
      <c r="Z2" s="15"/>
      <c r="AA2" s="2"/>
      <c r="AB2" s="2"/>
      <c r="AC2"/>
      <c r="AD2"/>
    </row>
    <row r="3" spans="1:30" s="13" customFormat="1" ht="23.25" customHeight="1" thickBot="1">
      <c r="A3" s="13" t="s">
        <v>46</v>
      </c>
      <c r="E3" s="115" t="s">
        <v>200</v>
      </c>
      <c r="F3" s="114"/>
      <c r="G3" s="59" t="s">
        <v>198</v>
      </c>
      <c r="H3" s="75" t="s">
        <v>354</v>
      </c>
      <c r="I3" s="75" t="s">
        <v>361</v>
      </c>
      <c r="J3" s="17" t="s">
        <v>75</v>
      </c>
      <c r="K3" s="19" t="s">
        <v>300</v>
      </c>
      <c r="L3" s="18" t="s">
        <v>72</v>
      </c>
      <c r="M3" s="59" t="s">
        <v>74</v>
      </c>
      <c r="N3" s="76" t="s">
        <v>190</v>
      </c>
      <c r="O3" s="62" t="s">
        <v>156</v>
      </c>
      <c r="P3" s="19" t="s">
        <v>121</v>
      </c>
      <c r="Q3" s="54" t="s">
        <v>54</v>
      </c>
      <c r="R3" s="202" t="s">
        <v>116</v>
      </c>
      <c r="S3" s="202" t="s">
        <v>339</v>
      </c>
      <c r="T3" s="55" t="s">
        <v>189</v>
      </c>
      <c r="U3" s="56" t="s">
        <v>53</v>
      </c>
      <c r="V3" s="66" t="s">
        <v>195</v>
      </c>
      <c r="W3" s="67" t="s">
        <v>196</v>
      </c>
      <c r="X3" s="68" t="s">
        <v>197</v>
      </c>
      <c r="Y3" s="75" t="s">
        <v>159</v>
      </c>
      <c r="Z3" s="75" t="s">
        <v>11</v>
      </c>
      <c r="AA3" s="19" t="s">
        <v>199</v>
      </c>
      <c r="AB3" s="15"/>
    </row>
    <row r="4" spans="1:30" s="13" customFormat="1" ht="23.25" customHeight="1" thickTop="1" thickBot="1">
      <c r="E4" s="115"/>
      <c r="G4" s="16" t="s">
        <v>349</v>
      </c>
      <c r="H4" s="27"/>
      <c r="I4" s="27"/>
      <c r="J4" s="29">
        <v>150</v>
      </c>
      <c r="K4" s="57"/>
      <c r="L4" s="14"/>
      <c r="M4" s="16"/>
      <c r="N4" s="78"/>
      <c r="O4" s="64"/>
      <c r="P4" s="57">
        <v>50</v>
      </c>
      <c r="Q4" s="214"/>
      <c r="R4" s="215"/>
      <c r="S4" s="216"/>
      <c r="T4" s="217"/>
      <c r="U4" s="218"/>
      <c r="V4" s="69"/>
      <c r="W4" s="70"/>
      <c r="X4" s="71"/>
      <c r="Y4" s="47"/>
      <c r="Z4" s="47"/>
      <c r="AA4" s="58"/>
      <c r="AB4" s="15"/>
    </row>
    <row r="5" spans="1:30" s="13" customFormat="1" ht="23.25" customHeight="1" thickTop="1" thickBot="1">
      <c r="E5" s="115"/>
      <c r="G5" s="16" t="s">
        <v>350</v>
      </c>
      <c r="H5" s="27"/>
      <c r="I5" s="27"/>
      <c r="J5" s="29">
        <v>200</v>
      </c>
      <c r="K5" s="57"/>
      <c r="L5" s="14"/>
      <c r="M5" s="16"/>
      <c r="N5" s="78">
        <v>100</v>
      </c>
      <c r="O5" s="64"/>
      <c r="P5" s="57">
        <v>100</v>
      </c>
      <c r="Q5" s="214"/>
      <c r="R5" s="215"/>
      <c r="S5" s="216"/>
      <c r="T5" s="217"/>
      <c r="U5" s="218"/>
      <c r="V5" s="69"/>
      <c r="W5" s="70"/>
      <c r="X5" s="71"/>
      <c r="Y5" s="47"/>
      <c r="Z5" s="47"/>
      <c r="AA5" s="58"/>
      <c r="AB5" s="15"/>
    </row>
    <row r="6" spans="1:30" s="13" customFormat="1" ht="23.25" customHeight="1" thickTop="1" thickBot="1">
      <c r="E6" s="115"/>
      <c r="G6" s="16"/>
      <c r="H6" s="27"/>
      <c r="I6" s="27"/>
      <c r="J6" s="29"/>
      <c r="K6" s="57"/>
      <c r="L6" s="14"/>
      <c r="M6" s="16"/>
      <c r="N6" s="78"/>
      <c r="O6" s="64"/>
      <c r="P6" s="57"/>
      <c r="Q6" s="214"/>
      <c r="R6" s="215"/>
      <c r="S6" s="216"/>
      <c r="T6" s="217"/>
      <c r="U6" s="218"/>
      <c r="V6" s="69"/>
      <c r="W6" s="70"/>
      <c r="X6" s="71"/>
      <c r="Y6" s="47"/>
      <c r="Z6" s="47"/>
      <c r="AA6" s="58"/>
      <c r="AB6" s="15"/>
    </row>
    <row r="7" spans="1:30" s="13" customFormat="1" ht="23.25" customHeight="1" thickTop="1" thickBot="1">
      <c r="E7" s="115"/>
      <c r="G7" s="16" t="s">
        <v>346</v>
      </c>
      <c r="H7" s="27"/>
      <c r="I7" s="27"/>
      <c r="J7" s="29">
        <v>50</v>
      </c>
      <c r="K7" s="57" t="s">
        <v>368</v>
      </c>
      <c r="L7" s="14"/>
      <c r="M7" s="16"/>
      <c r="N7" s="78"/>
      <c r="O7" s="64"/>
      <c r="P7" s="57"/>
      <c r="Q7" s="214"/>
      <c r="R7" s="215" t="s">
        <v>62</v>
      </c>
      <c r="S7" s="216"/>
      <c r="T7" s="217"/>
      <c r="U7" s="218"/>
      <c r="V7" s="69"/>
      <c r="W7" s="70"/>
      <c r="X7" s="71"/>
      <c r="Y7" s="47"/>
      <c r="Z7" s="47"/>
      <c r="AA7" s="58"/>
      <c r="AB7" s="15"/>
    </row>
    <row r="8" spans="1:30" s="13" customFormat="1" ht="23.25" customHeight="1" thickTop="1" thickBot="1">
      <c r="E8" s="115"/>
      <c r="G8" s="16" t="s">
        <v>347</v>
      </c>
      <c r="H8" s="27"/>
      <c r="I8" s="27"/>
      <c r="J8" s="29">
        <v>50</v>
      </c>
      <c r="K8" s="57" t="s">
        <v>368</v>
      </c>
      <c r="L8" s="14"/>
      <c r="M8" s="16"/>
      <c r="N8" s="78"/>
      <c r="O8" s="64"/>
      <c r="P8" s="57"/>
      <c r="Q8" s="214"/>
      <c r="R8" s="215" t="s">
        <v>62</v>
      </c>
      <c r="S8" s="216"/>
      <c r="T8" s="217"/>
      <c r="U8" s="218"/>
      <c r="V8" s="69"/>
      <c r="W8" s="70"/>
      <c r="X8" s="71"/>
      <c r="Y8" s="47"/>
      <c r="Z8" s="47"/>
      <c r="AA8" s="58"/>
      <c r="AB8" s="15"/>
    </row>
    <row r="9" spans="1:30" s="13" customFormat="1" ht="23.25" customHeight="1" thickTop="1" thickBot="1">
      <c r="E9" s="115"/>
      <c r="G9" s="16"/>
      <c r="H9" s="27"/>
      <c r="I9" s="27"/>
      <c r="J9" s="29"/>
      <c r="K9" s="57"/>
      <c r="L9" s="14"/>
      <c r="M9" s="16"/>
      <c r="N9" s="78"/>
      <c r="O9" s="64"/>
      <c r="P9" s="57"/>
      <c r="Q9" s="214"/>
      <c r="R9" s="215"/>
      <c r="S9" s="216"/>
      <c r="T9" s="217"/>
      <c r="U9" s="218"/>
      <c r="V9" s="69"/>
      <c r="W9" s="70"/>
      <c r="X9" s="71"/>
      <c r="Y9" s="47"/>
      <c r="Z9" s="47"/>
      <c r="AA9" s="58"/>
      <c r="AB9" s="15"/>
    </row>
    <row r="10" spans="1:30" s="13" customFormat="1" ht="23.25" customHeight="1" thickTop="1" thickBot="1">
      <c r="E10" s="115"/>
      <c r="F10" s="13" t="s">
        <v>191</v>
      </c>
      <c r="G10" s="16" t="s">
        <v>351</v>
      </c>
      <c r="H10" s="27"/>
      <c r="I10" s="27"/>
      <c r="J10" s="29">
        <v>200</v>
      </c>
      <c r="K10" s="57"/>
      <c r="L10" s="14"/>
      <c r="M10" s="16"/>
      <c r="N10" s="78"/>
      <c r="O10" s="64"/>
      <c r="P10" s="57">
        <v>50</v>
      </c>
      <c r="Q10" s="214"/>
      <c r="R10" s="215" t="s">
        <v>117</v>
      </c>
      <c r="S10" s="216"/>
      <c r="T10" s="217"/>
      <c r="U10" s="218"/>
      <c r="V10" s="69"/>
      <c r="W10" s="70"/>
      <c r="X10" s="71"/>
      <c r="Y10" s="47"/>
      <c r="Z10" s="47"/>
      <c r="AA10" s="58"/>
      <c r="AB10" s="15"/>
    </row>
    <row r="11" spans="1:30" s="13" customFormat="1" ht="23.25" customHeight="1" thickTop="1" thickBot="1">
      <c r="E11" s="115"/>
      <c r="G11" s="16" t="s">
        <v>353</v>
      </c>
      <c r="H11" s="27"/>
      <c r="I11" s="27"/>
      <c r="J11" s="29">
        <v>200</v>
      </c>
      <c r="K11" s="57"/>
      <c r="L11" s="14"/>
      <c r="M11" s="16"/>
      <c r="N11" s="78"/>
      <c r="O11" s="64"/>
      <c r="P11" s="57">
        <v>50</v>
      </c>
      <c r="Q11" s="214"/>
      <c r="R11" s="215" t="s">
        <v>117</v>
      </c>
      <c r="S11" s="216"/>
      <c r="T11" s="217"/>
      <c r="U11" s="218"/>
      <c r="V11" s="69"/>
      <c r="W11" s="70"/>
      <c r="X11" s="71"/>
      <c r="Y11" s="47"/>
      <c r="Z11" s="47"/>
      <c r="AA11" s="58"/>
      <c r="AB11" s="15"/>
    </row>
    <row r="12" spans="1:30" s="13" customFormat="1" ht="23.25" customHeight="1" thickTop="1" thickBot="1">
      <c r="E12" s="115"/>
      <c r="G12" s="16" t="s">
        <v>352</v>
      </c>
      <c r="H12" s="27"/>
      <c r="I12" s="27"/>
      <c r="J12" s="29">
        <v>200</v>
      </c>
      <c r="K12" s="57"/>
      <c r="L12" s="14"/>
      <c r="M12" s="16"/>
      <c r="N12" s="78"/>
      <c r="O12" s="64"/>
      <c r="P12" s="57">
        <v>50</v>
      </c>
      <c r="Q12" s="214"/>
      <c r="R12" s="215" t="s">
        <v>117</v>
      </c>
      <c r="S12" s="216"/>
      <c r="T12" s="217"/>
      <c r="U12" s="218"/>
      <c r="V12" s="69"/>
      <c r="W12" s="70"/>
      <c r="X12" s="71"/>
      <c r="Y12" s="47"/>
      <c r="Z12" s="47"/>
      <c r="AA12" s="58"/>
      <c r="AB12" s="15"/>
    </row>
    <row r="13" spans="1:30" s="13" customFormat="1" ht="23.25" customHeight="1" thickTop="1" thickBot="1">
      <c r="E13" s="115"/>
      <c r="G13" s="16"/>
      <c r="H13" s="27"/>
      <c r="I13" s="27"/>
      <c r="J13" s="29"/>
      <c r="K13" s="57"/>
      <c r="L13" s="14"/>
      <c r="M13" s="16"/>
      <c r="N13" s="78"/>
      <c r="O13" s="64"/>
      <c r="P13" s="57"/>
      <c r="Q13" s="214"/>
      <c r="R13" s="215"/>
      <c r="S13" s="216"/>
      <c r="T13" s="217"/>
      <c r="U13" s="218"/>
      <c r="V13" s="69"/>
      <c r="W13" s="70"/>
      <c r="X13" s="71"/>
      <c r="Y13" s="47"/>
      <c r="Z13" s="47"/>
      <c r="AA13" s="58"/>
      <c r="AB13" s="15"/>
    </row>
    <row r="14" spans="1:30" s="13" customFormat="1" ht="23.25" customHeight="1" thickTop="1" thickBot="1">
      <c r="E14" s="115"/>
      <c r="G14" s="16"/>
      <c r="H14" s="27"/>
      <c r="I14" s="27"/>
      <c r="J14" s="29"/>
      <c r="K14" s="57"/>
      <c r="L14" s="14"/>
      <c r="M14" s="16"/>
      <c r="N14" s="78"/>
      <c r="O14" s="64"/>
      <c r="P14" s="57"/>
      <c r="Q14" s="214"/>
      <c r="R14" s="215"/>
      <c r="S14" s="216"/>
      <c r="T14" s="217"/>
      <c r="U14" s="218"/>
      <c r="V14" s="69"/>
      <c r="W14" s="70"/>
      <c r="X14" s="71"/>
      <c r="Y14" s="47"/>
      <c r="Z14" s="47"/>
      <c r="AA14" s="58"/>
      <c r="AB14" s="15"/>
    </row>
    <row r="15" spans="1:30" s="13" customFormat="1" ht="23.25" customHeight="1" thickTop="1" thickBot="1">
      <c r="E15" s="115"/>
      <c r="F15" s="13" t="s">
        <v>192</v>
      </c>
      <c r="G15" s="16" t="s">
        <v>348</v>
      </c>
      <c r="H15" t="s">
        <v>355</v>
      </c>
      <c r="I15" s="219"/>
      <c r="J15" s="29">
        <v>200</v>
      </c>
      <c r="K15" s="57"/>
      <c r="L15" s="14"/>
      <c r="M15" s="16"/>
      <c r="N15" s="78"/>
      <c r="O15" s="64"/>
      <c r="P15" s="57">
        <v>100</v>
      </c>
      <c r="Q15" s="214"/>
      <c r="R15" s="215" t="s">
        <v>356</v>
      </c>
      <c r="S15" s="216"/>
      <c r="T15" s="217"/>
      <c r="U15" s="218"/>
      <c r="V15" s="69"/>
      <c r="W15" s="70"/>
      <c r="X15" s="71"/>
      <c r="Y15" s="47"/>
      <c r="Z15" s="47"/>
      <c r="AA15" s="58"/>
      <c r="AB15" s="15"/>
    </row>
    <row r="16" spans="1:30" s="13" customFormat="1" ht="20.100000000000001" customHeight="1" thickTop="1" thickBot="1">
      <c r="E16" s="116"/>
      <c r="G16" s="16" t="s">
        <v>0</v>
      </c>
      <c r="H16" s="47"/>
      <c r="I16" s="47"/>
      <c r="J16" s="51"/>
      <c r="K16" s="52"/>
      <c r="L16" s="53"/>
      <c r="M16" s="60"/>
      <c r="N16" s="77"/>
      <c r="O16" s="63"/>
      <c r="P16" s="52"/>
      <c r="Q16" s="51"/>
      <c r="R16" s="53"/>
      <c r="S16" s="53"/>
      <c r="T16" s="53"/>
      <c r="U16" s="52"/>
      <c r="V16" s="69"/>
      <c r="W16" s="70"/>
      <c r="X16" s="71"/>
      <c r="Y16" s="47"/>
      <c r="Z16" s="47"/>
      <c r="AA16" s="58"/>
      <c r="AB16" s="15"/>
    </row>
    <row r="17" spans="2:28" s="13" customFormat="1" ht="20.100000000000001" customHeight="1" thickTop="1" thickBot="1">
      <c r="E17" s="116"/>
      <c r="G17" s="16" t="s">
        <v>8</v>
      </c>
      <c r="H17" s="47"/>
      <c r="I17" s="47"/>
      <c r="J17" s="51"/>
      <c r="K17" s="52">
        <v>100</v>
      </c>
      <c r="L17" s="53"/>
      <c r="M17" s="60"/>
      <c r="N17" s="77"/>
      <c r="O17" s="64">
        <v>100</v>
      </c>
      <c r="P17" s="52"/>
      <c r="Q17" s="51"/>
      <c r="R17" s="53"/>
      <c r="S17" s="53"/>
      <c r="T17" s="53"/>
      <c r="U17" s="52"/>
      <c r="V17" s="69"/>
      <c r="W17" s="70"/>
      <c r="X17" s="71"/>
      <c r="Y17" s="47"/>
      <c r="Z17" s="47"/>
      <c r="AA17" s="58"/>
      <c r="AB17" s="15"/>
    </row>
    <row r="18" spans="2:28" s="13" customFormat="1" ht="20.100000000000001" customHeight="1" thickTop="1">
      <c r="G18" s="16" t="s">
        <v>323</v>
      </c>
      <c r="H18" s="27"/>
      <c r="I18" s="27"/>
      <c r="J18" s="29"/>
      <c r="K18" s="57">
        <v>110</v>
      </c>
      <c r="L18" s="14"/>
      <c r="M18" s="16"/>
      <c r="N18" s="83"/>
      <c r="O18" s="64"/>
      <c r="P18" s="57">
        <v>50</v>
      </c>
      <c r="Q18" s="29"/>
      <c r="R18" s="14" t="s">
        <v>170</v>
      </c>
      <c r="S18" s="14"/>
      <c r="T18" s="14"/>
      <c r="U18" s="57"/>
      <c r="V18" s="69"/>
      <c r="W18" s="70"/>
      <c r="X18" s="71"/>
      <c r="Y18" s="47"/>
      <c r="Z18" s="47"/>
      <c r="AA18" s="15"/>
      <c r="AB18" s="15"/>
    </row>
    <row r="19" spans="2:28" s="13" customFormat="1" ht="20.100000000000001" customHeight="1" thickBot="1">
      <c r="G19" s="16"/>
      <c r="H19" s="27"/>
      <c r="I19" s="27"/>
      <c r="J19" s="29"/>
      <c r="K19" s="57"/>
      <c r="L19" s="14"/>
      <c r="M19" s="16"/>
      <c r="N19" s="83"/>
      <c r="O19" s="64"/>
      <c r="P19" s="57"/>
      <c r="Q19" s="213"/>
      <c r="R19" s="14"/>
      <c r="S19" s="14"/>
      <c r="T19" s="64"/>
      <c r="U19" s="57"/>
      <c r="V19" s="69"/>
      <c r="W19" s="70"/>
      <c r="X19" s="71"/>
      <c r="Y19" s="47"/>
      <c r="Z19" s="47"/>
      <c r="AA19" s="15"/>
      <c r="AB19" s="15"/>
    </row>
    <row r="20" spans="2:28" s="13" customFormat="1" ht="20.100000000000001" customHeight="1" thickTop="1" thickBot="1">
      <c r="E20" s="116"/>
      <c r="G20" s="16" t="s">
        <v>176</v>
      </c>
      <c r="H20" s="47"/>
      <c r="I20" s="47"/>
      <c r="J20" s="51"/>
      <c r="K20" s="52">
        <v>300</v>
      </c>
      <c r="L20" s="53"/>
      <c r="M20" s="60"/>
      <c r="N20" s="77">
        <v>100</v>
      </c>
      <c r="O20" s="64"/>
      <c r="P20" s="52">
        <v>100</v>
      </c>
      <c r="Q20" s="51"/>
      <c r="R20" s="53"/>
      <c r="S20" s="53"/>
      <c r="T20" s="53"/>
      <c r="U20" s="52"/>
      <c r="V20" s="69"/>
      <c r="W20" s="70"/>
      <c r="X20" s="71"/>
      <c r="Y20" s="47"/>
      <c r="Z20" s="47"/>
      <c r="AA20" s="58"/>
      <c r="AB20" s="15"/>
    </row>
    <row r="21" spans="2:28" s="13" customFormat="1" ht="20.100000000000001" customHeight="1" thickTop="1" thickBot="1">
      <c r="E21" s="116"/>
      <c r="G21" s="16" t="s">
        <v>177</v>
      </c>
      <c r="H21" s="47"/>
      <c r="I21" s="47"/>
      <c r="J21" s="51"/>
      <c r="K21" s="52"/>
      <c r="L21" s="53"/>
      <c r="M21" s="60"/>
      <c r="N21" s="77"/>
      <c r="O21" s="64"/>
      <c r="P21" s="52"/>
      <c r="Q21" s="51"/>
      <c r="R21" s="53"/>
      <c r="S21" s="53"/>
      <c r="T21" s="53"/>
      <c r="U21" s="52"/>
      <c r="V21" s="69"/>
      <c r="W21" s="70"/>
      <c r="X21" s="71"/>
      <c r="Y21" s="47"/>
      <c r="Z21" s="47"/>
      <c r="AA21" s="58"/>
      <c r="AB21" s="15"/>
    </row>
    <row r="22" spans="2:28" s="13" customFormat="1" ht="20.100000000000001" customHeight="1" thickTop="1" thickBot="1">
      <c r="E22" s="116"/>
      <c r="G22" s="16" t="s">
        <v>181</v>
      </c>
      <c r="H22" s="47"/>
      <c r="I22" s="47"/>
      <c r="J22" s="51">
        <v>150</v>
      </c>
      <c r="K22" s="52"/>
      <c r="L22" s="53"/>
      <c r="M22" s="60"/>
      <c r="N22" s="77"/>
      <c r="O22" s="64"/>
      <c r="P22" s="52">
        <v>50</v>
      </c>
      <c r="Q22" s="51"/>
      <c r="R22" s="53"/>
      <c r="S22" s="53"/>
      <c r="T22" s="53"/>
      <c r="U22" s="52"/>
      <c r="V22" s="69"/>
      <c r="W22" s="70"/>
      <c r="X22" s="71"/>
      <c r="Y22" s="47"/>
      <c r="Z22" s="47"/>
      <c r="AA22" s="58"/>
      <c r="AB22" s="15"/>
    </row>
    <row r="23" spans="2:28" s="13" customFormat="1" ht="20.100000000000001" customHeight="1" thickTop="1" thickBot="1">
      <c r="E23" s="116"/>
      <c r="G23" s="16" t="s">
        <v>182</v>
      </c>
      <c r="H23" s="47"/>
      <c r="I23" s="47"/>
      <c r="J23" s="51">
        <v>150</v>
      </c>
      <c r="K23" s="52"/>
      <c r="L23" s="53"/>
      <c r="M23" s="60"/>
      <c r="N23" s="77"/>
      <c r="O23" s="64"/>
      <c r="P23" s="52">
        <v>50</v>
      </c>
      <c r="Q23" s="51"/>
      <c r="R23" s="53"/>
      <c r="S23" s="53"/>
      <c r="T23" s="53"/>
      <c r="U23" s="52"/>
      <c r="V23" s="69"/>
      <c r="W23" s="70"/>
      <c r="X23" s="71"/>
      <c r="Y23" s="47"/>
      <c r="Z23" s="47"/>
      <c r="AA23" s="58"/>
      <c r="AB23" s="15"/>
    </row>
    <row r="24" spans="2:28" s="13" customFormat="1" ht="20.100000000000001" customHeight="1" thickTop="1" thickBot="1">
      <c r="E24" s="116"/>
      <c r="G24" s="16" t="s">
        <v>183</v>
      </c>
      <c r="H24" s="47"/>
      <c r="I24" s="47"/>
      <c r="J24" s="51"/>
      <c r="K24" s="52"/>
      <c r="L24" s="53"/>
      <c r="M24" s="60"/>
      <c r="N24" s="77"/>
      <c r="O24" s="64"/>
      <c r="P24" s="52"/>
      <c r="Q24" s="51"/>
      <c r="R24" s="53"/>
      <c r="S24" s="53"/>
      <c r="T24" s="53"/>
      <c r="U24" s="52"/>
      <c r="V24" s="69"/>
      <c r="W24" s="70"/>
      <c r="X24" s="71"/>
      <c r="Y24" s="47"/>
      <c r="Z24" s="47"/>
      <c r="AA24" s="58"/>
      <c r="AB24" s="15"/>
    </row>
    <row r="25" spans="2:28" s="13" customFormat="1" ht="20.100000000000001" customHeight="1" thickTop="1" thickBot="1">
      <c r="E25" s="116"/>
      <c r="G25" s="16" t="s">
        <v>187</v>
      </c>
      <c r="H25" s="47"/>
      <c r="I25" s="47"/>
      <c r="J25" s="51"/>
      <c r="K25" s="52">
        <v>100</v>
      </c>
      <c r="L25" s="53"/>
      <c r="M25" s="60"/>
      <c r="N25" s="77"/>
      <c r="O25" s="64">
        <v>100</v>
      </c>
      <c r="P25" s="52"/>
      <c r="Q25" s="51"/>
      <c r="R25" s="53" t="s">
        <v>117</v>
      </c>
      <c r="S25" s="53"/>
      <c r="T25" s="53"/>
      <c r="U25" s="52"/>
      <c r="V25" s="69"/>
      <c r="W25" s="70"/>
      <c r="X25" s="71"/>
      <c r="Y25" s="47"/>
      <c r="Z25" s="47"/>
      <c r="AA25" s="58"/>
      <c r="AB25" s="15"/>
    </row>
    <row r="26" spans="2:28" s="13" customFormat="1" ht="20.100000000000001" customHeight="1" thickTop="1" thickBot="1">
      <c r="E26" s="116"/>
      <c r="G26" s="16" t="s">
        <v>184</v>
      </c>
      <c r="H26" s="47"/>
      <c r="I26" s="47"/>
      <c r="J26" s="51"/>
      <c r="K26" s="52"/>
      <c r="L26" s="53"/>
      <c r="M26" s="60"/>
      <c r="N26" s="77"/>
      <c r="O26" s="64"/>
      <c r="P26" s="52"/>
      <c r="Q26" s="51"/>
      <c r="R26" s="53"/>
      <c r="S26" s="53"/>
      <c r="T26" s="53"/>
      <c r="U26" s="52"/>
      <c r="V26" s="69"/>
      <c r="W26" s="70"/>
      <c r="X26" s="71"/>
      <c r="Y26" s="47"/>
      <c r="Z26" s="47"/>
      <c r="AA26" s="58"/>
      <c r="AB26" s="15"/>
    </row>
    <row r="27" spans="2:28" s="13" customFormat="1" ht="20.100000000000001" customHeight="1" thickTop="1" thickBot="1">
      <c r="E27" s="116"/>
      <c r="G27" s="16" t="s">
        <v>185</v>
      </c>
      <c r="H27" s="47"/>
      <c r="I27" s="47"/>
      <c r="J27" s="51"/>
      <c r="K27" s="52"/>
      <c r="L27" s="53"/>
      <c r="M27" s="60"/>
      <c r="N27" s="77"/>
      <c r="O27" s="64"/>
      <c r="P27" s="52">
        <v>50</v>
      </c>
      <c r="Q27" s="51"/>
      <c r="R27" s="53"/>
      <c r="S27" s="53"/>
      <c r="T27" s="53"/>
      <c r="U27" s="52"/>
      <c r="V27" s="69"/>
      <c r="W27" s="70"/>
      <c r="X27" s="71"/>
      <c r="Y27" s="47"/>
      <c r="Z27" s="47"/>
      <c r="AA27" s="58"/>
      <c r="AB27" s="15"/>
    </row>
    <row r="28" spans="2:28" s="13" customFormat="1" ht="20.100000000000001" customHeight="1" thickTop="1" thickBot="1">
      <c r="B28" s="13" t="s">
        <v>51</v>
      </c>
      <c r="E28" s="116"/>
      <c r="G28" s="16" t="s">
        <v>188</v>
      </c>
      <c r="H28" s="47"/>
      <c r="I28" s="47"/>
      <c r="J28" s="51"/>
      <c r="K28" s="52"/>
      <c r="L28" s="53"/>
      <c r="M28" s="60"/>
      <c r="N28" s="77"/>
      <c r="O28" s="64"/>
      <c r="P28" s="52"/>
      <c r="Q28" s="51"/>
      <c r="R28" s="53"/>
      <c r="S28" s="53"/>
      <c r="T28" s="53"/>
      <c r="U28" s="52"/>
      <c r="V28" s="69"/>
      <c r="W28" s="70"/>
      <c r="X28" s="71"/>
      <c r="Y28" s="47"/>
      <c r="Z28" s="47"/>
      <c r="AA28" s="58"/>
      <c r="AB28" s="15"/>
    </row>
    <row r="29" spans="2:28" s="13" customFormat="1" ht="20.100000000000001" customHeight="1" thickTop="1" thickBot="1">
      <c r="E29" s="116"/>
      <c r="G29" s="16" t="s">
        <v>186</v>
      </c>
      <c r="H29" s="47"/>
      <c r="I29" s="47"/>
      <c r="J29" s="51"/>
      <c r="K29" s="52"/>
      <c r="L29" s="53"/>
      <c r="M29" s="60"/>
      <c r="N29" s="77"/>
      <c r="O29" s="64"/>
      <c r="P29" s="52"/>
      <c r="Q29" s="51"/>
      <c r="R29" s="53"/>
      <c r="S29" s="53"/>
      <c r="T29" s="53"/>
      <c r="U29" s="52"/>
      <c r="V29" s="69"/>
      <c r="W29" s="70"/>
      <c r="X29" s="71"/>
      <c r="Y29" s="47"/>
      <c r="Z29" s="47"/>
      <c r="AA29" s="58"/>
      <c r="AB29" s="15"/>
    </row>
    <row r="30" spans="2:28" s="13" customFormat="1" ht="20.100000000000001" customHeight="1" thickTop="1" thickBot="1">
      <c r="E30" s="116"/>
      <c r="G30" s="117" t="s">
        <v>1</v>
      </c>
      <c r="H30" s="127"/>
      <c r="I30" s="127"/>
      <c r="J30" s="118"/>
      <c r="K30" s="119"/>
      <c r="L30" s="120"/>
      <c r="M30" s="121"/>
      <c r="N30" s="122"/>
      <c r="O30" s="123"/>
      <c r="P30" s="119"/>
      <c r="Q30" s="118"/>
      <c r="R30" s="120"/>
      <c r="S30" s="120"/>
      <c r="T30" s="120"/>
      <c r="U30" s="119"/>
      <c r="V30" s="124"/>
      <c r="W30" s="125"/>
      <c r="X30" s="126"/>
      <c r="Y30" s="127"/>
      <c r="Z30" s="127"/>
      <c r="AA30" s="128"/>
      <c r="AB30" s="15"/>
    </row>
    <row r="31" spans="2:28" s="13" customFormat="1" ht="20.100000000000001" customHeight="1" thickTop="1" thickBot="1">
      <c r="E31" s="116"/>
      <c r="G31" s="16"/>
      <c r="H31" s="27"/>
      <c r="I31" s="27"/>
      <c r="J31" s="29"/>
      <c r="K31" s="57"/>
      <c r="L31" s="14"/>
      <c r="M31" s="16"/>
      <c r="N31" s="77"/>
      <c r="O31" s="64"/>
      <c r="P31" s="57"/>
      <c r="Q31" s="29"/>
      <c r="R31" s="14"/>
      <c r="S31" s="14"/>
      <c r="T31" s="14"/>
      <c r="U31" s="57"/>
      <c r="V31" s="69"/>
      <c r="W31" s="70"/>
      <c r="X31" s="71"/>
      <c r="Y31" s="27"/>
      <c r="Z31" s="27"/>
      <c r="AA31" s="58"/>
      <c r="AB31" s="15"/>
    </row>
    <row r="32" spans="2:28" s="13" customFormat="1" ht="20.100000000000001" customHeight="1" thickTop="1" thickBot="1">
      <c r="E32" s="116"/>
      <c r="F32" s="13" t="s">
        <v>193</v>
      </c>
      <c r="G32" s="16" t="s">
        <v>175</v>
      </c>
      <c r="H32" s="47"/>
      <c r="I32" s="47"/>
      <c r="J32" s="51">
        <v>400</v>
      </c>
      <c r="K32" s="52">
        <v>400</v>
      </c>
      <c r="L32" s="53"/>
      <c r="M32" s="60"/>
      <c r="N32" s="77">
        <v>100</v>
      </c>
      <c r="O32" s="64"/>
      <c r="P32" s="52">
        <v>200</v>
      </c>
      <c r="Q32" s="51"/>
      <c r="R32" s="53"/>
      <c r="S32" s="53"/>
      <c r="T32" s="53"/>
      <c r="U32" s="52"/>
      <c r="V32" s="69"/>
      <c r="W32" s="70"/>
      <c r="X32" s="71"/>
      <c r="Y32" s="47"/>
      <c r="Z32" s="47"/>
      <c r="AA32" s="58"/>
      <c r="AB32" s="15"/>
    </row>
    <row r="33" spans="1:30" ht="20.100000000000001" customHeight="1" thickTop="1" thickBot="1">
      <c r="A33" s="13" t="s">
        <v>32</v>
      </c>
      <c r="B33" s="13" t="s">
        <v>51</v>
      </c>
      <c r="C33" s="13"/>
      <c r="D33" s="13"/>
      <c r="E33" s="116"/>
      <c r="F33" s="13"/>
      <c r="G33" s="16" t="s">
        <v>33</v>
      </c>
      <c r="H33" s="27"/>
      <c r="I33" s="27"/>
      <c r="J33" s="29"/>
      <c r="K33" s="57">
        <v>300</v>
      </c>
      <c r="L33" s="14"/>
      <c r="M33" s="16"/>
      <c r="N33" s="77">
        <v>100</v>
      </c>
      <c r="O33" s="129">
        <v>100</v>
      </c>
      <c r="P33" s="21"/>
      <c r="Q33" s="29"/>
      <c r="R33" s="14"/>
      <c r="S33" s="14"/>
      <c r="T33" s="5"/>
      <c r="U33" s="21"/>
      <c r="V33" s="69"/>
      <c r="W33" s="70"/>
      <c r="X33" s="71"/>
      <c r="Y33" s="27"/>
      <c r="Z33" s="27"/>
      <c r="AA33" s="58"/>
      <c r="AB33" s="2"/>
      <c r="AC33"/>
      <c r="AD33"/>
    </row>
    <row r="34" spans="1:30" s="13" customFormat="1" ht="20.100000000000001" customHeight="1" thickTop="1" thickBot="1">
      <c r="E34" s="116"/>
      <c r="G34" s="16"/>
      <c r="H34" s="47"/>
      <c r="I34" s="47"/>
      <c r="J34" s="51"/>
      <c r="K34" s="52"/>
      <c r="L34" s="53"/>
      <c r="M34" s="60"/>
      <c r="N34" s="77"/>
      <c r="O34" s="64"/>
      <c r="P34" s="52"/>
      <c r="Q34" s="51"/>
      <c r="R34" s="53"/>
      <c r="S34" s="53"/>
      <c r="T34" s="53"/>
      <c r="U34" s="52"/>
      <c r="V34" s="69"/>
      <c r="W34" s="70"/>
      <c r="X34" s="71"/>
      <c r="Y34" s="47"/>
      <c r="Z34" s="47"/>
      <c r="AA34" s="58"/>
      <c r="AB34" s="15"/>
    </row>
    <row r="35" spans="1:30" s="13" customFormat="1" ht="20.100000000000001" customHeight="1" thickTop="1" thickBot="1">
      <c r="E35" s="116"/>
      <c r="F35" s="13" t="s">
        <v>194</v>
      </c>
      <c r="G35" s="16" t="s">
        <v>5</v>
      </c>
      <c r="H35" s="47"/>
      <c r="I35" s="47"/>
      <c r="J35" s="51">
        <v>100</v>
      </c>
      <c r="K35" s="52"/>
      <c r="L35" s="53"/>
      <c r="M35" s="60"/>
      <c r="N35" s="77"/>
      <c r="O35" s="64"/>
      <c r="P35" s="52"/>
      <c r="Q35" s="51"/>
      <c r="R35" s="53"/>
      <c r="S35" s="53"/>
      <c r="T35" s="53"/>
      <c r="U35" s="52"/>
      <c r="V35" s="69"/>
      <c r="W35" s="70"/>
      <c r="X35" s="71"/>
      <c r="Y35" s="47"/>
      <c r="Z35" s="47"/>
      <c r="AA35" s="58"/>
      <c r="AB35" s="15"/>
    </row>
    <row r="36" spans="1:30" s="13" customFormat="1" ht="20.100000000000001" customHeight="1" thickTop="1" thickBot="1">
      <c r="E36" s="116"/>
      <c r="G36" s="16" t="s">
        <v>6</v>
      </c>
      <c r="H36" s="47"/>
      <c r="I36" s="47"/>
      <c r="J36" s="51">
        <v>200</v>
      </c>
      <c r="K36" s="52"/>
      <c r="L36" s="53"/>
      <c r="M36" s="60"/>
      <c r="N36" s="77"/>
      <c r="O36" s="64"/>
      <c r="P36" s="52"/>
      <c r="Q36" s="51"/>
      <c r="R36" s="53"/>
      <c r="S36" s="53"/>
      <c r="T36" s="53"/>
      <c r="U36" s="52"/>
      <c r="V36" s="69"/>
      <c r="W36" s="70"/>
      <c r="X36" s="71"/>
      <c r="Y36" s="47"/>
      <c r="Z36" s="47"/>
      <c r="AA36" s="58"/>
      <c r="AB36" s="15"/>
    </row>
    <row r="37" spans="1:30" s="13" customFormat="1" ht="20.100000000000001" customHeight="1" thickTop="1" thickBot="1">
      <c r="E37" s="116"/>
      <c r="G37" s="16" t="s">
        <v>179</v>
      </c>
      <c r="H37" s="47"/>
      <c r="I37" s="47"/>
      <c r="J37" s="51"/>
      <c r="K37" s="52"/>
      <c r="L37" s="53"/>
      <c r="M37" s="60"/>
      <c r="N37" s="77"/>
      <c r="O37" s="64"/>
      <c r="P37" s="52"/>
      <c r="Q37" s="51"/>
      <c r="R37" s="53"/>
      <c r="S37" s="53"/>
      <c r="T37" s="53"/>
      <c r="U37" s="52"/>
      <c r="V37" s="69"/>
      <c r="W37" s="70"/>
      <c r="X37" s="71"/>
      <c r="Y37" s="47"/>
      <c r="Z37" s="47"/>
      <c r="AA37" s="58"/>
      <c r="AB37" s="15"/>
    </row>
    <row r="38" spans="1:30" s="13" customFormat="1" ht="20.100000000000001" customHeight="1" thickTop="1" thickBot="1">
      <c r="E38" s="116"/>
      <c r="G38" s="16" t="s">
        <v>357</v>
      </c>
      <c r="H38" t="s">
        <v>358</v>
      </c>
      <c r="I38" s="220"/>
      <c r="J38" s="51">
        <v>100</v>
      </c>
      <c r="K38" s="52"/>
      <c r="L38" s="53"/>
      <c r="M38" s="60"/>
      <c r="N38" s="77"/>
      <c r="O38" s="64"/>
      <c r="P38" s="52"/>
      <c r="Q38" s="51"/>
      <c r="R38" s="53"/>
      <c r="S38" s="53"/>
      <c r="T38" s="53"/>
      <c r="U38" s="52"/>
      <c r="V38" s="69"/>
      <c r="W38" s="70"/>
      <c r="X38" s="71"/>
      <c r="Y38" s="47"/>
      <c r="Z38" s="47"/>
      <c r="AA38" s="58"/>
      <c r="AB38" s="15"/>
    </row>
    <row r="39" spans="1:30" s="13" customFormat="1" ht="20.100000000000001" customHeight="1" thickTop="1">
      <c r="F39" s="13" t="s">
        <v>172</v>
      </c>
      <c r="G39" s="16" t="s">
        <v>360</v>
      </c>
      <c r="H39" t="s">
        <v>359</v>
      </c>
      <c r="I39" s="219"/>
      <c r="J39" s="29">
        <v>150</v>
      </c>
      <c r="K39" s="57"/>
      <c r="L39" s="14"/>
      <c r="M39" s="16"/>
      <c r="N39" s="83"/>
      <c r="O39" s="64"/>
      <c r="P39" s="57"/>
      <c r="Q39" s="29"/>
      <c r="R39" s="14"/>
      <c r="S39" s="14"/>
      <c r="T39" s="14"/>
      <c r="U39" s="57"/>
      <c r="V39" s="69"/>
      <c r="W39" s="70"/>
      <c r="X39" s="71"/>
      <c r="Y39" s="15"/>
      <c r="Z39" s="15"/>
      <c r="AA39" s="15"/>
      <c r="AB39" s="15"/>
    </row>
    <row r="40" spans="1:30" s="13" customFormat="1" ht="20.100000000000001" customHeight="1">
      <c r="F40" s="13" t="s">
        <v>91</v>
      </c>
      <c r="G40" s="16" t="s">
        <v>299</v>
      </c>
      <c r="H40" s="27"/>
      <c r="I40" s="27"/>
      <c r="J40" s="29"/>
      <c r="K40" s="57"/>
      <c r="L40" s="14"/>
      <c r="M40" s="16"/>
      <c r="N40" s="83"/>
      <c r="O40" s="64"/>
      <c r="P40" s="57"/>
      <c r="Q40" s="29"/>
      <c r="R40" s="14"/>
      <c r="S40" s="14"/>
      <c r="T40" s="14"/>
      <c r="U40" s="57"/>
      <c r="V40" s="69"/>
      <c r="W40" s="70"/>
      <c r="X40" s="71"/>
      <c r="Y40" s="15"/>
      <c r="Z40" s="15"/>
      <c r="AA40" s="15"/>
      <c r="AB40" s="15"/>
    </row>
    <row r="41" spans="1:30" s="13" customFormat="1" ht="20.100000000000001" customHeight="1">
      <c r="G41" s="16"/>
      <c r="H41" s="27"/>
      <c r="I41" s="27"/>
      <c r="J41" s="29"/>
      <c r="K41" s="57"/>
      <c r="L41" s="14"/>
      <c r="M41" s="16"/>
      <c r="N41" s="83"/>
      <c r="O41" s="64"/>
      <c r="P41" s="57"/>
      <c r="Q41" s="29"/>
      <c r="R41" s="14"/>
      <c r="S41" s="14"/>
      <c r="T41" s="14"/>
      <c r="U41" s="57"/>
      <c r="V41" s="69"/>
      <c r="W41" s="70"/>
      <c r="X41" s="71"/>
      <c r="Y41" s="47"/>
      <c r="Z41" s="47"/>
      <c r="AA41" s="15"/>
      <c r="AB41" s="15"/>
    </row>
    <row r="42" spans="1:30" s="102" customFormat="1" ht="20.100000000000001" customHeight="1">
      <c r="G42" s="103">
        <f>SUBTOTAL(109,G16:G38)</f>
        <v>0</v>
      </c>
      <c r="H42" s="112"/>
      <c r="I42" s="112"/>
      <c r="J42" s="104">
        <f>SUBTOTAL(109,J16:J41)</f>
        <v>1250</v>
      </c>
      <c r="K42" s="105"/>
      <c r="L42" s="106">
        <f>SUBTOTAL(109,L16:L41)</f>
        <v>0</v>
      </c>
      <c r="M42" s="103"/>
      <c r="N42" s="107"/>
      <c r="O42" s="108">
        <f>SUBTOTAL(109,O16:O41)</f>
        <v>300</v>
      </c>
      <c r="P42" s="105">
        <f>SUBTOTAL(109,P16:P41)</f>
        <v>500</v>
      </c>
      <c r="Q42" s="104"/>
      <c r="R42" s="106"/>
      <c r="S42" s="106"/>
      <c r="T42" s="106"/>
      <c r="U42" s="105"/>
      <c r="V42" s="109"/>
      <c r="W42" s="110"/>
      <c r="X42" s="111"/>
      <c r="Y42" s="112"/>
      <c r="Z42" s="112"/>
      <c r="AA42" s="113"/>
      <c r="AB42" s="113"/>
    </row>
    <row r="43" spans="1:30" s="15" customFormat="1" ht="20.100000000000001" customHeight="1" thickBot="1">
      <c r="G43" s="60"/>
      <c r="H43" s="47"/>
      <c r="I43" s="47"/>
      <c r="J43" s="51"/>
      <c r="K43" s="52"/>
      <c r="L43" s="53"/>
      <c r="M43" s="60"/>
      <c r="N43" s="78"/>
      <c r="O43" s="63"/>
      <c r="P43" s="52"/>
      <c r="Q43" s="51"/>
      <c r="R43" s="53"/>
      <c r="S43" s="53"/>
      <c r="T43" s="53"/>
      <c r="U43" s="52"/>
      <c r="V43" s="72"/>
      <c r="W43" s="73"/>
      <c r="X43" s="74"/>
      <c r="Y43" s="47"/>
      <c r="Z43" s="47"/>
    </row>
    <row r="44" spans="1:30" s="13" customFormat="1" ht="20.100000000000001" customHeight="1" thickTop="1" thickBot="1">
      <c r="G44" s="59" t="s">
        <v>198</v>
      </c>
      <c r="H44" s="75"/>
      <c r="I44" s="75"/>
      <c r="J44" s="17" t="s">
        <v>75</v>
      </c>
      <c r="K44" s="19" t="s">
        <v>300</v>
      </c>
      <c r="L44" s="18" t="s">
        <v>72</v>
      </c>
      <c r="M44" s="59" t="s">
        <v>74</v>
      </c>
      <c r="N44" s="76" t="s">
        <v>190</v>
      </c>
      <c r="O44" s="62" t="s">
        <v>156</v>
      </c>
      <c r="P44" s="19" t="s">
        <v>121</v>
      </c>
      <c r="Q44" s="54" t="s">
        <v>54</v>
      </c>
      <c r="R44" s="53"/>
      <c r="S44" s="53"/>
      <c r="T44" s="53"/>
      <c r="U44" s="52"/>
      <c r="V44" s="69"/>
      <c r="W44" s="70"/>
      <c r="X44" s="71"/>
      <c r="Y44" s="47"/>
      <c r="Z44" s="47"/>
      <c r="AA44" s="15"/>
      <c r="AB44" s="15"/>
    </row>
    <row r="45" spans="1:30" s="13" customFormat="1" ht="20.100000000000001" customHeight="1" thickTop="1" thickBot="1">
      <c r="B45" s="13" t="s">
        <v>51</v>
      </c>
      <c r="F45" s="13" t="s">
        <v>46</v>
      </c>
      <c r="G45" s="16" t="s">
        <v>28</v>
      </c>
      <c r="H45" s="47"/>
      <c r="I45" s="47"/>
      <c r="J45" s="51"/>
      <c r="K45" s="51">
        <v>100</v>
      </c>
      <c r="L45" s="53"/>
      <c r="M45" s="60"/>
      <c r="N45" s="77"/>
      <c r="O45" s="65"/>
      <c r="P45" s="52">
        <v>50</v>
      </c>
      <c r="Q45" s="51"/>
      <c r="R45" s="53"/>
      <c r="S45" s="53"/>
      <c r="T45" s="53"/>
      <c r="U45" s="52"/>
      <c r="V45" s="69"/>
      <c r="W45" s="70"/>
      <c r="X45" s="71"/>
      <c r="Y45" s="47"/>
      <c r="Z45" s="47"/>
      <c r="AA45" s="15"/>
      <c r="AB45" s="15"/>
    </row>
    <row r="46" spans="1:30" s="13" customFormat="1" ht="20.100000000000001" customHeight="1" thickTop="1" thickBot="1">
      <c r="G46" s="16" t="s">
        <v>27</v>
      </c>
      <c r="H46" s="27"/>
      <c r="I46" s="27"/>
      <c r="J46" s="29"/>
      <c r="K46" s="29">
        <v>100</v>
      </c>
      <c r="L46" s="14"/>
      <c r="M46" s="16"/>
      <c r="N46" s="77"/>
      <c r="O46" s="65"/>
      <c r="P46" s="57">
        <v>50</v>
      </c>
      <c r="Q46" s="29"/>
      <c r="R46" s="14"/>
      <c r="S46" s="14"/>
      <c r="T46" s="14"/>
      <c r="U46" s="57"/>
      <c r="V46" s="69"/>
      <c r="W46" s="70"/>
      <c r="X46" s="71"/>
      <c r="Y46" s="47"/>
      <c r="Z46" s="47"/>
      <c r="AA46" s="15"/>
      <c r="AB46" s="15"/>
    </row>
    <row r="47" spans="1:30" s="13" customFormat="1" ht="20.100000000000001" customHeight="1" thickTop="1" thickBot="1">
      <c r="B47" s="13" t="s">
        <v>51</v>
      </c>
      <c r="G47" s="16" t="s">
        <v>29</v>
      </c>
      <c r="H47" s="47"/>
      <c r="I47" s="47"/>
      <c r="J47" s="51"/>
      <c r="K47" s="51">
        <v>100</v>
      </c>
      <c r="L47" s="53"/>
      <c r="M47" s="60"/>
      <c r="N47" s="77"/>
      <c r="O47" s="64"/>
      <c r="P47" s="52">
        <v>50</v>
      </c>
      <c r="Q47" s="29"/>
      <c r="R47" s="53"/>
      <c r="S47" s="53"/>
      <c r="T47" s="53"/>
      <c r="U47" s="52"/>
      <c r="V47" s="69"/>
      <c r="W47" s="70"/>
      <c r="X47" s="71"/>
      <c r="Y47" s="47"/>
      <c r="Z47" s="47"/>
      <c r="AA47" s="15"/>
      <c r="AB47" s="15"/>
    </row>
    <row r="48" spans="1:30" s="13" customFormat="1" ht="20.100000000000001" customHeight="1" thickTop="1" thickBot="1">
      <c r="B48" s="13" t="s">
        <v>51</v>
      </c>
      <c r="G48" s="16" t="s">
        <v>30</v>
      </c>
      <c r="H48" s="47"/>
      <c r="I48" s="47"/>
      <c r="J48" s="51"/>
      <c r="K48" s="51">
        <v>100</v>
      </c>
      <c r="L48" s="53"/>
      <c r="M48" s="60"/>
      <c r="N48" s="77"/>
      <c r="O48" s="65"/>
      <c r="P48" s="52">
        <v>50</v>
      </c>
      <c r="Q48" s="29"/>
      <c r="R48" s="53"/>
      <c r="S48" s="53"/>
      <c r="T48" s="53"/>
      <c r="U48" s="52"/>
      <c r="V48" s="69"/>
      <c r="W48" s="70"/>
      <c r="X48" s="71"/>
      <c r="Y48" s="47"/>
      <c r="Z48" s="47"/>
      <c r="AA48" s="15"/>
      <c r="AB48" s="15"/>
    </row>
    <row r="49" spans="2:30" s="13" customFormat="1" ht="20.100000000000001" customHeight="1" thickTop="1" thickBot="1">
      <c r="B49" s="13" t="s">
        <v>51</v>
      </c>
      <c r="C49" s="13" t="s">
        <v>128</v>
      </c>
      <c r="G49" s="16" t="s">
        <v>31</v>
      </c>
      <c r="H49" s="47"/>
      <c r="I49" s="47"/>
      <c r="J49" s="51"/>
      <c r="K49" s="51">
        <v>100</v>
      </c>
      <c r="L49" s="53"/>
      <c r="M49" s="60"/>
      <c r="N49" s="77"/>
      <c r="O49" s="64"/>
      <c r="P49" s="52">
        <v>50</v>
      </c>
      <c r="Q49" s="51"/>
      <c r="R49" s="53"/>
      <c r="S49" s="53"/>
      <c r="T49" s="53"/>
      <c r="U49" s="52"/>
      <c r="V49" s="69"/>
      <c r="W49" s="70"/>
      <c r="X49" s="71"/>
      <c r="Y49" s="47"/>
      <c r="Z49" s="47"/>
      <c r="AA49" s="15"/>
      <c r="AB49" s="15"/>
    </row>
    <row r="50" spans="2:30" s="13" customFormat="1" ht="20.100000000000001" customHeight="1" thickTop="1" thickBot="1">
      <c r="C50" s="13" t="s">
        <v>128</v>
      </c>
      <c r="G50" s="16" t="s">
        <v>173</v>
      </c>
      <c r="H50" s="47"/>
      <c r="I50" s="47"/>
      <c r="J50" s="51"/>
      <c r="K50" s="51"/>
      <c r="L50" s="53"/>
      <c r="M50" s="60"/>
      <c r="N50" s="77"/>
      <c r="O50" s="65"/>
      <c r="P50" s="52"/>
      <c r="Q50" s="51"/>
      <c r="R50" s="53"/>
      <c r="S50" s="53"/>
      <c r="T50" s="53"/>
      <c r="U50" s="52"/>
      <c r="V50" s="69"/>
      <c r="W50" s="70"/>
      <c r="X50" s="71"/>
      <c r="Y50" s="47"/>
      <c r="Z50" s="47"/>
      <c r="AA50" s="15"/>
      <c r="AB50" s="15"/>
    </row>
    <row r="51" spans="2:30" s="13" customFormat="1" ht="20.100000000000001" customHeight="1" thickTop="1" thickBot="1">
      <c r="G51" s="16" t="s">
        <v>253</v>
      </c>
      <c r="H51" s="27"/>
      <c r="I51" s="27"/>
      <c r="J51" s="29"/>
      <c r="K51" s="29">
        <v>100</v>
      </c>
      <c r="L51" s="14"/>
      <c r="M51" s="16"/>
      <c r="N51" s="77"/>
      <c r="O51" s="64"/>
      <c r="P51" s="57">
        <v>50</v>
      </c>
      <c r="Q51" s="29"/>
      <c r="R51" s="14"/>
      <c r="S51" s="14"/>
      <c r="T51" s="14"/>
      <c r="U51" s="57"/>
      <c r="V51" s="69"/>
      <c r="W51" s="70"/>
      <c r="X51" s="71"/>
      <c r="Y51" s="27"/>
      <c r="Z51" s="27"/>
      <c r="AA51" s="15" t="s">
        <v>311</v>
      </c>
      <c r="AB51" s="15"/>
    </row>
    <row r="52" spans="2:30" s="13" customFormat="1" ht="20.100000000000001" customHeight="1" thickTop="1" thickBot="1">
      <c r="G52" s="16"/>
      <c r="H52" s="27"/>
      <c r="I52" s="27"/>
      <c r="J52" s="29"/>
      <c r="K52" s="29"/>
      <c r="L52" s="14"/>
      <c r="M52" s="16"/>
      <c r="N52" s="77"/>
      <c r="O52" s="64"/>
      <c r="P52" s="57"/>
      <c r="Q52" s="29"/>
      <c r="R52" s="14"/>
      <c r="S52" s="14"/>
      <c r="T52" s="14"/>
      <c r="U52" s="57"/>
      <c r="V52" s="69"/>
      <c r="W52" s="70"/>
      <c r="X52" s="71"/>
      <c r="Y52" s="47"/>
      <c r="Z52" s="47"/>
      <c r="AA52" s="15"/>
      <c r="AB52" s="15"/>
    </row>
    <row r="53" spans="2:30" ht="20.100000000000001" customHeight="1" thickTop="1" thickBot="1">
      <c r="B53" t="s">
        <v>51</v>
      </c>
      <c r="F53" s="13" t="s">
        <v>193</v>
      </c>
      <c r="G53" s="16"/>
      <c r="H53" s="27"/>
      <c r="I53" s="27"/>
      <c r="J53" s="29"/>
      <c r="K53" s="57"/>
      <c r="L53" s="14"/>
      <c r="M53" s="16"/>
      <c r="N53" s="77"/>
      <c r="O53" s="64"/>
      <c r="P53" s="57"/>
      <c r="Q53" s="29"/>
      <c r="R53" s="14"/>
      <c r="S53" s="14"/>
      <c r="T53" s="5"/>
      <c r="U53" s="21"/>
      <c r="V53" s="69"/>
      <c r="W53" s="70"/>
      <c r="X53" s="71"/>
      <c r="Y53" s="27"/>
      <c r="Z53" s="27"/>
      <c r="AB53" s="2"/>
      <c r="AC53"/>
      <c r="AD53"/>
    </row>
    <row r="54" spans="2:30" ht="20.100000000000001" customHeight="1" thickTop="1" thickBot="1">
      <c r="G54" s="16"/>
      <c r="H54" s="27"/>
      <c r="I54" s="27"/>
      <c r="J54" s="29"/>
      <c r="K54" s="57"/>
      <c r="L54" s="14"/>
      <c r="M54" s="14"/>
      <c r="N54" s="77"/>
      <c r="O54" s="29"/>
      <c r="P54" s="57"/>
      <c r="Q54" s="29"/>
      <c r="R54" s="14"/>
      <c r="S54" s="14"/>
      <c r="T54" s="5"/>
      <c r="U54" s="21"/>
      <c r="V54" s="69"/>
      <c r="W54" s="70"/>
      <c r="X54" s="71"/>
      <c r="Y54" s="47"/>
      <c r="Z54" s="47"/>
      <c r="AB54" s="2"/>
      <c r="AC54"/>
      <c r="AD54"/>
    </row>
    <row r="55" spans="2:30" s="13" customFormat="1" ht="20.100000000000001" customHeight="1" thickTop="1" thickBot="1">
      <c r="E55" s="116"/>
      <c r="G55" s="16" t="s">
        <v>178</v>
      </c>
      <c r="H55" s="47"/>
      <c r="I55" s="47"/>
      <c r="J55" s="51">
        <v>300</v>
      </c>
      <c r="K55" s="52"/>
      <c r="L55" s="53"/>
      <c r="M55" s="60"/>
      <c r="N55" s="77">
        <v>100</v>
      </c>
      <c r="O55" s="64">
        <v>100</v>
      </c>
      <c r="P55" s="52">
        <v>100</v>
      </c>
      <c r="Q55" s="51"/>
      <c r="R55" s="53"/>
      <c r="S55" s="53"/>
      <c r="T55" s="53"/>
      <c r="U55" s="52"/>
      <c r="V55" s="69"/>
      <c r="W55" s="70"/>
      <c r="X55" s="71"/>
      <c r="Y55" s="47"/>
      <c r="Z55" s="47"/>
      <c r="AA55" s="58"/>
      <c r="AB55" s="15"/>
    </row>
    <row r="56" spans="2:30" ht="20.100000000000001" customHeight="1" thickTop="1" thickBot="1">
      <c r="B56" t="s">
        <v>51</v>
      </c>
      <c r="G56" s="16" t="s">
        <v>138</v>
      </c>
      <c r="H56" s="27"/>
      <c r="I56" s="27"/>
      <c r="J56" s="29"/>
      <c r="K56" s="57">
        <v>150</v>
      </c>
      <c r="L56" s="14"/>
      <c r="M56" s="16"/>
      <c r="N56" s="77"/>
      <c r="O56" s="129"/>
      <c r="P56" s="57">
        <v>50</v>
      </c>
      <c r="Q56" s="29"/>
      <c r="R56" s="14"/>
      <c r="S56" s="14"/>
      <c r="T56" s="5"/>
      <c r="U56" s="21"/>
      <c r="V56" s="69"/>
      <c r="W56" s="70"/>
      <c r="X56" s="71"/>
      <c r="Y56" s="27"/>
      <c r="Z56" s="27"/>
      <c r="AB56" s="2"/>
      <c r="AC56"/>
      <c r="AD56"/>
    </row>
    <row r="57" spans="2:30" ht="20.100000000000001" customHeight="1" thickTop="1" thickBot="1">
      <c r="B57" t="s">
        <v>51</v>
      </c>
      <c r="G57" s="16" t="s">
        <v>36</v>
      </c>
      <c r="H57" s="27"/>
      <c r="I57" s="27"/>
      <c r="J57" s="29"/>
      <c r="K57" s="57">
        <v>300</v>
      </c>
      <c r="L57" s="14"/>
      <c r="M57" s="16"/>
      <c r="N57" s="77"/>
      <c r="O57" s="129"/>
      <c r="P57" s="57">
        <v>200</v>
      </c>
      <c r="Q57" s="29"/>
      <c r="R57" s="14"/>
      <c r="S57" s="14"/>
      <c r="T57" s="5"/>
      <c r="U57" s="21"/>
      <c r="V57" s="69"/>
      <c r="W57" s="70"/>
      <c r="X57" s="71"/>
      <c r="Y57" s="27"/>
      <c r="Z57" s="27"/>
      <c r="AB57" s="2"/>
      <c r="AC57"/>
      <c r="AD57"/>
    </row>
    <row r="58" spans="2:30" ht="19.5" customHeight="1" thickTop="1" thickBot="1">
      <c r="G58" s="16" t="s">
        <v>37</v>
      </c>
      <c r="H58" s="27"/>
      <c r="I58" s="27"/>
      <c r="J58" s="29"/>
      <c r="K58" s="57">
        <v>200</v>
      </c>
      <c r="L58" s="14"/>
      <c r="M58" s="16"/>
      <c r="N58" s="77">
        <v>100</v>
      </c>
      <c r="O58" s="64"/>
      <c r="P58" s="57">
        <v>100</v>
      </c>
      <c r="Q58" s="29"/>
      <c r="R58" s="14"/>
      <c r="S58" s="14"/>
      <c r="T58" s="5"/>
      <c r="U58" s="21"/>
      <c r="V58" s="69"/>
      <c r="W58" s="70"/>
      <c r="X58" s="71"/>
      <c r="Y58" s="27"/>
      <c r="Z58" s="27"/>
      <c r="AB58" s="2"/>
      <c r="AC58"/>
      <c r="AD58"/>
    </row>
    <row r="59" spans="2:30" s="13" customFormat="1" ht="20.100000000000001" customHeight="1" thickTop="1" thickBot="1">
      <c r="B59" s="13" t="s">
        <v>51</v>
      </c>
      <c r="G59" s="16" t="s">
        <v>47</v>
      </c>
      <c r="H59" s="47"/>
      <c r="I59" s="47"/>
      <c r="J59" s="51">
        <v>150</v>
      </c>
      <c r="K59" s="52"/>
      <c r="L59" s="53"/>
      <c r="M59" s="60"/>
      <c r="N59" s="77"/>
      <c r="O59" s="64"/>
      <c r="P59" s="52">
        <v>50</v>
      </c>
      <c r="Q59" s="51"/>
      <c r="R59" s="53"/>
      <c r="S59" s="53"/>
      <c r="T59" s="53"/>
      <c r="U59" s="52"/>
      <c r="V59" s="69"/>
      <c r="W59" s="70"/>
      <c r="X59" s="71"/>
      <c r="Y59" s="47"/>
      <c r="Z59" s="47"/>
      <c r="AA59" s="15"/>
      <c r="AB59" s="15"/>
    </row>
    <row r="60" spans="2:30" s="13" customFormat="1" ht="20.100000000000001" customHeight="1" thickTop="1" thickBot="1">
      <c r="G60" s="16" t="s">
        <v>41</v>
      </c>
      <c r="H60" s="47"/>
      <c r="I60" s="47"/>
      <c r="J60" s="51"/>
      <c r="K60" s="52"/>
      <c r="L60" s="53"/>
      <c r="M60" s="60"/>
      <c r="N60" s="77"/>
      <c r="O60" s="64"/>
      <c r="P60" s="52"/>
      <c r="Q60" s="51"/>
      <c r="R60" s="53"/>
      <c r="S60" s="53"/>
      <c r="T60" s="53"/>
      <c r="U60" s="52"/>
      <c r="V60" s="69"/>
      <c r="W60" s="70"/>
      <c r="X60" s="71"/>
      <c r="Y60" s="47"/>
      <c r="Z60" s="47"/>
      <c r="AA60" s="15"/>
      <c r="AB60" s="15"/>
    </row>
    <row r="61" spans="2:30" s="13" customFormat="1" ht="20.100000000000001" customHeight="1" thickTop="1" thickBot="1">
      <c r="G61" s="16" t="s">
        <v>325</v>
      </c>
      <c r="H61" s="27"/>
      <c r="I61" s="27"/>
      <c r="J61" s="29"/>
      <c r="K61" s="57"/>
      <c r="L61" s="14"/>
      <c r="M61" s="16"/>
      <c r="N61" s="77"/>
      <c r="O61" s="27"/>
      <c r="P61" s="57"/>
      <c r="Q61" s="29"/>
      <c r="R61" s="14"/>
      <c r="S61" s="14"/>
      <c r="T61" s="14"/>
      <c r="U61" s="57"/>
      <c r="V61" s="69"/>
      <c r="W61" s="70"/>
      <c r="X61" s="71"/>
      <c r="Y61" s="47"/>
      <c r="Z61" s="47"/>
      <c r="AA61" s="15"/>
      <c r="AB61" s="15"/>
    </row>
    <row r="62" spans="2:30" ht="19.5" customHeight="1" thickTop="1" thickBot="1">
      <c r="G62" s="16" t="s">
        <v>153</v>
      </c>
      <c r="H62" s="27"/>
      <c r="I62" s="27"/>
      <c r="J62" s="29"/>
      <c r="K62" s="57"/>
      <c r="L62" s="14"/>
      <c r="M62" s="16"/>
      <c r="N62" s="77"/>
      <c r="O62" s="64"/>
      <c r="P62" s="57"/>
      <c r="Q62" s="50"/>
      <c r="R62" s="14"/>
      <c r="S62" s="14"/>
      <c r="T62" s="5"/>
      <c r="U62" s="21"/>
      <c r="V62" s="69"/>
      <c r="W62" s="70"/>
      <c r="X62" s="71"/>
      <c r="Y62" s="27"/>
      <c r="Z62" s="27"/>
      <c r="AB62" s="2"/>
      <c r="AC62"/>
      <c r="AD62"/>
    </row>
    <row r="63" spans="2:30" s="13" customFormat="1" ht="20.100000000000001" customHeight="1" thickTop="1" thickBot="1">
      <c r="B63" s="13" t="s">
        <v>51</v>
      </c>
      <c r="G63" s="16" t="s">
        <v>73</v>
      </c>
      <c r="H63" s="47"/>
      <c r="I63" s="47"/>
      <c r="J63" s="51">
        <v>100</v>
      </c>
      <c r="K63" s="52"/>
      <c r="L63" s="53"/>
      <c r="M63" s="60"/>
      <c r="N63" s="77"/>
      <c r="O63" s="64"/>
      <c r="P63" s="52">
        <v>50</v>
      </c>
      <c r="Q63" s="51"/>
      <c r="R63" s="53"/>
      <c r="S63" s="53"/>
      <c r="T63" s="53"/>
      <c r="U63" s="52"/>
      <c r="V63" s="69"/>
      <c r="W63" s="70"/>
      <c r="X63" s="71"/>
      <c r="Y63" s="47"/>
      <c r="Z63" s="47"/>
      <c r="AA63" s="15"/>
      <c r="AB63" s="15"/>
    </row>
    <row r="64" spans="2:30" ht="19.5" customHeight="1" thickTop="1" thickBot="1">
      <c r="G64" s="16" t="s">
        <v>340</v>
      </c>
      <c r="H64" s="27"/>
      <c r="I64" s="27"/>
      <c r="J64" s="29"/>
      <c r="K64" s="57"/>
      <c r="L64" s="14"/>
      <c r="M64" s="16"/>
      <c r="N64" s="77"/>
      <c r="O64" s="64"/>
      <c r="P64" s="57"/>
      <c r="Q64" s="50"/>
      <c r="R64" s="14"/>
      <c r="S64" s="14"/>
      <c r="T64" s="5"/>
      <c r="U64" s="21"/>
      <c r="V64" s="69"/>
      <c r="W64" s="70"/>
      <c r="X64" s="71"/>
      <c r="Y64" s="47"/>
      <c r="Z64" s="47"/>
      <c r="AB64" s="2"/>
      <c r="AC64"/>
      <c r="AD64"/>
    </row>
    <row r="65" spans="6:30" ht="19.5" customHeight="1" thickTop="1" thickBot="1">
      <c r="G65" s="16" t="s">
        <v>362</v>
      </c>
      <c r="H65" s="27"/>
      <c r="I65" s="27"/>
      <c r="J65" s="29">
        <v>200</v>
      </c>
      <c r="K65" s="57"/>
      <c r="L65" s="14"/>
      <c r="M65" s="16"/>
      <c r="N65" s="77"/>
      <c r="O65" s="64"/>
      <c r="P65" s="57">
        <v>100</v>
      </c>
      <c r="Q65" s="221"/>
      <c r="R65" s="14"/>
      <c r="S65" s="14"/>
      <c r="T65" s="65"/>
      <c r="U65" s="21"/>
      <c r="V65" s="69"/>
      <c r="W65" s="70"/>
      <c r="X65" s="71"/>
      <c r="Y65" s="47"/>
      <c r="Z65" s="47"/>
      <c r="AB65" s="2"/>
      <c r="AC65"/>
      <c r="AD65"/>
    </row>
    <row r="66" spans="6:30" ht="19.5" customHeight="1" thickTop="1" thickBot="1">
      <c r="G66" s="16" t="s">
        <v>364</v>
      </c>
      <c r="H66" s="27"/>
      <c r="I66" s="27"/>
      <c r="J66" s="29">
        <v>200</v>
      </c>
      <c r="K66" s="57"/>
      <c r="L66" s="14"/>
      <c r="M66" s="16"/>
      <c r="N66" s="77"/>
      <c r="O66" s="64"/>
      <c r="P66" s="57">
        <v>100</v>
      </c>
      <c r="Q66" s="221" t="s">
        <v>363</v>
      </c>
      <c r="R66" s="14"/>
      <c r="S66" s="14"/>
      <c r="T66" s="65"/>
      <c r="U66" s="21"/>
      <c r="V66" s="69"/>
      <c r="W66" s="70"/>
      <c r="X66" s="71"/>
      <c r="Y66" s="47"/>
      <c r="Z66" s="47"/>
      <c r="AB66" s="2"/>
      <c r="AC66"/>
      <c r="AD66"/>
    </row>
    <row r="67" spans="6:30" ht="19.5" customHeight="1" thickTop="1" thickBot="1">
      <c r="G67" s="16" t="s">
        <v>367</v>
      </c>
      <c r="H67" s="27"/>
      <c r="I67" s="27"/>
      <c r="J67" s="29">
        <v>200</v>
      </c>
      <c r="K67" s="57">
        <v>200</v>
      </c>
      <c r="L67" s="14"/>
      <c r="M67" s="16"/>
      <c r="N67" s="77"/>
      <c r="O67" s="64"/>
      <c r="P67" s="57">
        <v>100</v>
      </c>
      <c r="Q67" s="221"/>
      <c r="R67" s="14"/>
      <c r="S67" s="14"/>
      <c r="T67" s="65"/>
      <c r="U67" s="21"/>
      <c r="V67" s="69"/>
      <c r="W67" s="70"/>
      <c r="X67" s="71"/>
      <c r="Y67" s="47"/>
      <c r="Z67" s="47"/>
      <c r="AB67" s="2"/>
      <c r="AC67"/>
      <c r="AD67"/>
    </row>
    <row r="68" spans="6:30" ht="19.5" customHeight="1" thickTop="1" thickBot="1">
      <c r="G68" s="16" t="s">
        <v>365</v>
      </c>
      <c r="H68" s="27"/>
      <c r="I68" s="27"/>
      <c r="J68" s="29">
        <v>100</v>
      </c>
      <c r="K68" s="57">
        <v>100</v>
      </c>
      <c r="L68" s="14"/>
      <c r="M68" s="16"/>
      <c r="N68" s="77">
        <v>100</v>
      </c>
      <c r="O68" s="64"/>
      <c r="P68" s="57">
        <v>100</v>
      </c>
      <c r="Q68" s="221" t="s">
        <v>363</v>
      </c>
      <c r="R68" s="14"/>
      <c r="S68" s="14"/>
      <c r="T68" s="65"/>
      <c r="U68" s="21"/>
      <c r="V68" s="69"/>
      <c r="W68" s="70"/>
      <c r="X68" s="71"/>
      <c r="Y68" s="47"/>
      <c r="Z68" s="47"/>
      <c r="AB68" s="2"/>
      <c r="AC68"/>
      <c r="AD68"/>
    </row>
    <row r="69" spans="6:30" ht="19.5" customHeight="1" thickTop="1" thickBot="1">
      <c r="G69" s="16" t="s">
        <v>366</v>
      </c>
      <c r="H69" s="27"/>
      <c r="I69" s="27"/>
      <c r="J69" s="29"/>
      <c r="K69" s="57"/>
      <c r="L69" s="14"/>
      <c r="M69" s="16"/>
      <c r="N69" s="77"/>
      <c r="O69" s="64"/>
      <c r="P69" s="57"/>
      <c r="Q69" s="221"/>
      <c r="R69" s="14"/>
      <c r="S69" s="14"/>
      <c r="T69" s="65"/>
      <c r="U69" s="21"/>
      <c r="V69" s="69"/>
      <c r="W69" s="70"/>
      <c r="X69" s="71"/>
      <c r="Y69" s="47"/>
      <c r="Z69" s="47"/>
      <c r="AB69" s="2"/>
      <c r="AC69"/>
      <c r="AD69"/>
    </row>
    <row r="70" spans="6:30" ht="19.5" customHeight="1" thickTop="1" thickBot="1">
      <c r="G70" s="16"/>
      <c r="H70" s="27"/>
      <c r="I70" s="27"/>
      <c r="J70" s="29"/>
      <c r="K70" s="57"/>
      <c r="L70" s="14"/>
      <c r="M70" s="16"/>
      <c r="N70" s="77"/>
      <c r="O70" s="64"/>
      <c r="P70" s="57"/>
      <c r="Q70" s="50"/>
      <c r="R70" s="14"/>
      <c r="S70" s="14"/>
      <c r="T70" s="5"/>
      <c r="U70" s="21"/>
      <c r="V70" s="69"/>
      <c r="W70" s="70"/>
      <c r="X70" s="71"/>
      <c r="Y70" s="47"/>
      <c r="Z70" s="47"/>
      <c r="AB70" s="2"/>
      <c r="AC70"/>
      <c r="AD70"/>
    </row>
    <row r="71" spans="6:30" ht="18" customHeight="1" thickTop="1" thickBot="1">
      <c r="G71" s="16"/>
      <c r="H71" s="27"/>
      <c r="I71" s="27"/>
      <c r="J71" s="29"/>
      <c r="K71" s="57"/>
      <c r="L71" s="14"/>
      <c r="M71" s="16"/>
      <c r="N71" s="77"/>
      <c r="O71" s="64"/>
      <c r="P71" s="57"/>
      <c r="Q71" s="50"/>
      <c r="R71" s="14"/>
      <c r="S71" s="14"/>
      <c r="T71" s="5"/>
      <c r="U71" s="21"/>
      <c r="V71" s="69"/>
      <c r="W71" s="70"/>
      <c r="X71" s="71"/>
      <c r="Y71" s="47"/>
      <c r="Z71" s="47"/>
      <c r="AB71" s="2"/>
      <c r="AC71"/>
      <c r="AD71"/>
    </row>
    <row r="72" spans="6:30" ht="18" customHeight="1" thickTop="1" thickBot="1">
      <c r="F72" s="13" t="s">
        <v>191</v>
      </c>
      <c r="G72" s="16" t="s">
        <v>330</v>
      </c>
      <c r="H72" s="27"/>
      <c r="I72" s="27"/>
      <c r="J72" s="29">
        <v>200</v>
      </c>
      <c r="K72" s="57"/>
      <c r="L72" s="14"/>
      <c r="M72" s="16"/>
      <c r="N72" s="77"/>
      <c r="O72" s="64">
        <v>100</v>
      </c>
      <c r="P72" s="57"/>
      <c r="Q72" s="50"/>
      <c r="R72" s="53">
        <v>5</v>
      </c>
      <c r="S72" s="53">
        <v>5</v>
      </c>
      <c r="T72" s="5">
        <v>5</v>
      </c>
      <c r="U72" s="21"/>
      <c r="V72" s="69"/>
      <c r="W72" s="70"/>
      <c r="X72" s="71"/>
      <c r="Y72" s="47"/>
      <c r="Z72" s="47"/>
      <c r="AB72" s="2"/>
      <c r="AC72"/>
      <c r="AD72"/>
    </row>
    <row r="73" spans="6:30" ht="18" customHeight="1" thickTop="1" thickBot="1">
      <c r="F73" s="13"/>
      <c r="G73" s="16" t="s">
        <v>331</v>
      </c>
      <c r="H73" s="27"/>
      <c r="I73" s="27"/>
      <c r="J73" s="29">
        <v>100</v>
      </c>
      <c r="K73" s="57"/>
      <c r="L73" s="14"/>
      <c r="M73" s="16"/>
      <c r="N73" s="77"/>
      <c r="O73" s="64"/>
      <c r="P73" s="57"/>
      <c r="Q73" s="50"/>
      <c r="R73" s="53">
        <v>5</v>
      </c>
      <c r="S73" s="53"/>
      <c r="T73" s="5"/>
      <c r="U73" s="21"/>
      <c r="V73" s="69"/>
      <c r="W73" s="70"/>
      <c r="X73" s="71"/>
      <c r="Y73" s="47"/>
      <c r="Z73" s="47"/>
      <c r="AB73" s="2"/>
      <c r="AC73"/>
      <c r="AD73"/>
    </row>
    <row r="74" spans="6:30" ht="18" customHeight="1" thickTop="1" thickBot="1">
      <c r="F74" s="13"/>
      <c r="G74" s="16" t="s">
        <v>332</v>
      </c>
      <c r="H74" s="27"/>
      <c r="I74" s="27"/>
      <c r="J74" s="29">
        <v>200</v>
      </c>
      <c r="K74" s="57"/>
      <c r="L74" s="14"/>
      <c r="M74" s="16"/>
      <c r="N74" s="77"/>
      <c r="O74" s="64">
        <v>50</v>
      </c>
      <c r="P74" s="57">
        <v>50</v>
      </c>
      <c r="Q74" s="50"/>
      <c r="R74" s="53">
        <v>5</v>
      </c>
      <c r="S74" s="53"/>
      <c r="T74" s="5">
        <v>5</v>
      </c>
      <c r="U74" s="21"/>
      <c r="V74" s="69"/>
      <c r="W74" s="70"/>
      <c r="X74" s="71"/>
      <c r="Y74" s="47"/>
      <c r="Z74" s="47"/>
      <c r="AB74" s="2"/>
      <c r="AC74"/>
      <c r="AD74"/>
    </row>
    <row r="75" spans="6:30" ht="18" customHeight="1" thickTop="1" thickBot="1">
      <c r="F75" s="13"/>
      <c r="G75" s="16" t="s">
        <v>333</v>
      </c>
      <c r="H75" s="27"/>
      <c r="I75" s="27"/>
      <c r="J75" s="29">
        <v>200</v>
      </c>
      <c r="K75" s="57"/>
      <c r="L75" s="14"/>
      <c r="M75" s="16"/>
      <c r="N75" s="77"/>
      <c r="O75" s="64"/>
      <c r="P75" s="57"/>
      <c r="Q75" s="50"/>
      <c r="R75" s="53">
        <v>5</v>
      </c>
      <c r="S75" s="53">
        <v>5</v>
      </c>
      <c r="T75" s="5"/>
      <c r="U75" s="21"/>
      <c r="V75" s="69"/>
      <c r="W75" s="70"/>
      <c r="X75" s="71"/>
      <c r="Y75" s="47"/>
      <c r="Z75" s="47"/>
      <c r="AB75" s="2"/>
      <c r="AC75"/>
      <c r="AD75"/>
    </row>
    <row r="76" spans="6:30" ht="18" customHeight="1" thickTop="1" thickBot="1">
      <c r="F76" s="13"/>
      <c r="G76" s="16" t="s">
        <v>334</v>
      </c>
      <c r="H76" s="27"/>
      <c r="I76" s="27"/>
      <c r="J76" s="29">
        <v>100</v>
      </c>
      <c r="K76" s="57">
        <v>100</v>
      </c>
      <c r="L76" s="14"/>
      <c r="M76" s="16"/>
      <c r="N76" s="77"/>
      <c r="O76" s="64">
        <v>50</v>
      </c>
      <c r="P76" s="57">
        <v>50</v>
      </c>
      <c r="Q76" s="50"/>
      <c r="R76" s="14">
        <v>5</v>
      </c>
      <c r="S76" s="14"/>
      <c r="T76" s="5">
        <v>5</v>
      </c>
      <c r="U76" s="21"/>
      <c r="V76" s="69"/>
      <c r="W76" s="70"/>
      <c r="X76" s="71"/>
      <c r="Y76" s="47"/>
      <c r="Z76" s="47"/>
      <c r="AB76" s="2"/>
      <c r="AC76"/>
      <c r="AD76"/>
    </row>
    <row r="77" spans="6:30" ht="18" customHeight="1" thickTop="1" thickBot="1">
      <c r="G77" s="16" t="s">
        <v>102</v>
      </c>
      <c r="H77" s="27"/>
      <c r="I77" s="27"/>
      <c r="J77" s="29">
        <v>200</v>
      </c>
      <c r="K77" s="57"/>
      <c r="L77" s="14"/>
      <c r="M77" s="16"/>
      <c r="N77" s="77"/>
      <c r="O77" s="64">
        <v>50</v>
      </c>
      <c r="P77" s="57">
        <v>50</v>
      </c>
      <c r="Q77" s="50"/>
      <c r="R77" s="14">
        <v>5</v>
      </c>
      <c r="S77" s="14">
        <v>5</v>
      </c>
      <c r="T77" s="5">
        <v>5</v>
      </c>
      <c r="U77" s="21"/>
      <c r="V77" s="69"/>
      <c r="W77" s="70"/>
      <c r="X77" s="71"/>
      <c r="Y77" s="47"/>
      <c r="Z77" s="47"/>
      <c r="AB77" s="2"/>
      <c r="AC77"/>
      <c r="AD77"/>
    </row>
    <row r="78" spans="6:30" ht="19.5" customHeight="1" thickTop="1" thickBot="1">
      <c r="G78" s="16" t="s">
        <v>336</v>
      </c>
      <c r="H78" s="27"/>
      <c r="I78" s="27"/>
      <c r="J78" s="29">
        <v>100</v>
      </c>
      <c r="K78" s="57">
        <v>100</v>
      </c>
      <c r="L78" s="14"/>
      <c r="M78" s="16"/>
      <c r="N78" s="77"/>
      <c r="O78" s="64">
        <v>50</v>
      </c>
      <c r="P78" s="57">
        <v>50</v>
      </c>
      <c r="Q78" s="50"/>
      <c r="R78" s="14">
        <v>5</v>
      </c>
      <c r="S78" s="14"/>
      <c r="T78" s="5">
        <v>10</v>
      </c>
      <c r="U78" s="21"/>
      <c r="V78" s="69"/>
      <c r="W78" s="70"/>
      <c r="X78" s="71"/>
      <c r="Y78" s="47"/>
      <c r="Z78" s="47"/>
      <c r="AB78" s="2"/>
      <c r="AC78"/>
      <c r="AD78"/>
    </row>
    <row r="79" spans="6:30" ht="18" customHeight="1" thickTop="1" thickBot="1">
      <c r="G79" s="16" t="s">
        <v>337</v>
      </c>
      <c r="H79" s="27"/>
      <c r="I79" s="27"/>
      <c r="J79" s="29">
        <v>200</v>
      </c>
      <c r="K79" s="57"/>
      <c r="L79" s="14"/>
      <c r="M79" s="16"/>
      <c r="N79" s="77"/>
      <c r="O79" s="64"/>
      <c r="P79" s="57">
        <v>50</v>
      </c>
      <c r="Q79" s="50"/>
      <c r="R79" s="14">
        <v>5</v>
      </c>
      <c r="S79" s="14"/>
      <c r="T79" s="5"/>
      <c r="U79" s="21"/>
      <c r="V79" s="69"/>
      <c r="W79" s="70"/>
      <c r="X79" s="71"/>
      <c r="Y79" s="47"/>
      <c r="Z79" s="47"/>
      <c r="AB79" s="2"/>
      <c r="AC79"/>
      <c r="AD79"/>
    </row>
    <row r="80" spans="6:30" ht="19.5" customHeight="1" thickTop="1" thickBot="1">
      <c r="G80" s="16" t="s">
        <v>338</v>
      </c>
      <c r="H80" s="27"/>
      <c r="I80" s="27"/>
      <c r="J80" s="29"/>
      <c r="K80" s="57"/>
      <c r="L80" s="14"/>
      <c r="M80" s="16"/>
      <c r="N80" s="77"/>
      <c r="O80" s="64"/>
      <c r="P80" s="57"/>
      <c r="Q80" s="50"/>
      <c r="R80" s="14"/>
      <c r="S80" s="14"/>
      <c r="T80" s="5"/>
      <c r="U80" s="21"/>
      <c r="V80" s="69"/>
      <c r="W80" s="70"/>
      <c r="X80" s="71"/>
      <c r="Y80" s="47"/>
      <c r="Z80" s="47"/>
      <c r="AB80" s="2"/>
      <c r="AC80"/>
      <c r="AD80"/>
    </row>
    <row r="81" spans="1:30" ht="19.5" customHeight="1" thickTop="1" thickBot="1">
      <c r="G81" s="16"/>
      <c r="H81" s="27"/>
      <c r="I81" s="27"/>
      <c r="J81" s="29"/>
      <c r="K81" s="57"/>
      <c r="L81" s="14"/>
      <c r="M81" s="16"/>
      <c r="N81" s="77"/>
      <c r="O81" s="64"/>
      <c r="P81" s="57"/>
      <c r="Q81" s="29"/>
      <c r="R81" s="14"/>
      <c r="S81" s="14"/>
      <c r="T81" s="5"/>
      <c r="U81" s="21"/>
      <c r="V81" s="69"/>
      <c r="W81" s="70"/>
      <c r="X81" s="71"/>
      <c r="Y81" s="47"/>
      <c r="Z81" s="47"/>
      <c r="AB81" s="2"/>
      <c r="AC81"/>
      <c r="AD81"/>
    </row>
    <row r="82" spans="1:30" ht="19.5" customHeight="1" thickTop="1" thickBot="1">
      <c r="G82" s="16"/>
      <c r="H82" s="27"/>
      <c r="I82" s="27"/>
      <c r="J82" s="29"/>
      <c r="K82" s="57"/>
      <c r="L82" s="14"/>
      <c r="M82" s="16"/>
      <c r="N82" s="77"/>
      <c r="O82" s="64"/>
      <c r="P82" s="57"/>
      <c r="Q82" s="50"/>
      <c r="R82" s="14"/>
      <c r="S82" s="14"/>
      <c r="T82" s="5"/>
      <c r="U82" s="21"/>
      <c r="V82" s="69"/>
      <c r="W82" s="70"/>
      <c r="X82" s="71"/>
      <c r="Y82" s="47"/>
      <c r="Z82" s="47"/>
      <c r="AB82" s="2"/>
      <c r="AC82"/>
      <c r="AD82"/>
    </row>
    <row r="83" spans="1:30" s="13" customFormat="1" ht="20.100000000000001" customHeight="1" thickTop="1" thickBot="1">
      <c r="G83" s="16"/>
      <c r="H83" s="47"/>
      <c r="I83" s="47"/>
      <c r="J83" s="51"/>
      <c r="K83" s="52"/>
      <c r="L83" s="53"/>
      <c r="M83" s="60"/>
      <c r="N83" s="77"/>
      <c r="O83" s="64"/>
      <c r="P83" s="52"/>
      <c r="Q83" s="51"/>
      <c r="R83" s="53"/>
      <c r="S83" s="53"/>
      <c r="T83" s="53"/>
      <c r="U83" s="52"/>
      <c r="V83" s="69"/>
      <c r="W83" s="70"/>
      <c r="X83" s="71"/>
      <c r="Y83" s="47"/>
      <c r="Z83" s="47"/>
      <c r="AA83" s="15"/>
      <c r="AB83" s="15"/>
    </row>
    <row r="84" spans="1:30" s="13" customFormat="1" ht="20.100000000000001" customHeight="1" thickTop="1" thickBot="1">
      <c r="G84" s="16"/>
      <c r="H84" s="47"/>
      <c r="I84" s="47"/>
      <c r="J84" s="51"/>
      <c r="K84" s="52"/>
      <c r="L84" s="53"/>
      <c r="M84" s="60"/>
      <c r="N84" s="77"/>
      <c r="O84" s="64"/>
      <c r="P84" s="52"/>
      <c r="Q84" s="51"/>
      <c r="R84" s="53"/>
      <c r="S84" s="53"/>
      <c r="T84" s="53"/>
      <c r="U84" s="52"/>
      <c r="V84" s="69"/>
      <c r="W84" s="70"/>
      <c r="X84" s="71"/>
      <c r="Y84" s="47"/>
      <c r="Z84" s="47"/>
      <c r="AA84" s="15"/>
      <c r="AB84" s="15"/>
    </row>
    <row r="85" spans="1:30" s="13" customFormat="1" ht="20.100000000000001" customHeight="1" thickTop="1" thickBot="1">
      <c r="G85" s="16"/>
      <c r="H85" s="47"/>
      <c r="I85" s="47"/>
      <c r="J85" s="51">
        <f t="shared" ref="J85:P85" si="0">SUM(J45:J83)</f>
        <v>2550</v>
      </c>
      <c r="K85" s="51">
        <f>SUM(K45:K83)</f>
        <v>1750</v>
      </c>
      <c r="L85" s="51">
        <f t="shared" si="0"/>
        <v>0</v>
      </c>
      <c r="M85" s="51">
        <f t="shared" si="0"/>
        <v>0</v>
      </c>
      <c r="N85" s="51">
        <f t="shared" si="0"/>
        <v>300</v>
      </c>
      <c r="O85" s="51">
        <f t="shared" si="0"/>
        <v>400</v>
      </c>
      <c r="P85" s="51">
        <f t="shared" si="0"/>
        <v>1500</v>
      </c>
      <c r="Q85" s="51">
        <f>SUM(Q44:Q84)</f>
        <v>0</v>
      </c>
      <c r="R85" s="53"/>
      <c r="S85" s="53"/>
      <c r="T85" s="53"/>
      <c r="U85" s="52"/>
      <c r="V85" s="69"/>
      <c r="W85" s="70"/>
      <c r="X85" s="71"/>
      <c r="Y85" s="47"/>
      <c r="Z85" s="47"/>
      <c r="AA85" s="15"/>
      <c r="AB85" s="15"/>
    </row>
    <row r="86" spans="1:30" ht="19.5" customHeight="1" thickTop="1" thickBot="1">
      <c r="G86" s="16"/>
      <c r="H86" s="27"/>
      <c r="I86" s="27"/>
      <c r="J86" s="20"/>
      <c r="K86" s="21"/>
      <c r="L86" s="5"/>
      <c r="M86" s="61"/>
      <c r="N86" s="77"/>
      <c r="O86" s="65"/>
      <c r="P86" s="21"/>
      <c r="Q86" s="50"/>
      <c r="R86" s="14"/>
      <c r="S86" s="14"/>
      <c r="T86" s="5"/>
      <c r="U86" s="21"/>
      <c r="V86" s="69"/>
      <c r="W86" s="70"/>
      <c r="X86" s="71"/>
      <c r="Y86" s="27"/>
      <c r="Z86" s="27"/>
      <c r="AB86" s="2"/>
      <c r="AC86"/>
      <c r="AD86"/>
    </row>
    <row r="87" spans="1:30" s="13" customFormat="1" ht="20.100000000000001" customHeight="1" thickTop="1" thickBot="1">
      <c r="G87" s="16"/>
      <c r="H87" s="47"/>
      <c r="I87" s="47"/>
      <c r="J87" s="51"/>
      <c r="K87" s="52"/>
      <c r="L87" s="53"/>
      <c r="M87" s="60"/>
      <c r="N87" s="77"/>
      <c r="O87" s="64"/>
      <c r="P87" s="52"/>
      <c r="Q87" s="51"/>
      <c r="R87" s="53"/>
      <c r="S87" s="53"/>
      <c r="T87" s="53"/>
      <c r="U87" s="52"/>
      <c r="V87" s="69"/>
      <c r="W87" s="70"/>
      <c r="X87" s="71"/>
      <c r="Y87" s="47"/>
      <c r="Z87" s="47"/>
      <c r="AA87" s="15"/>
      <c r="AB87" s="15"/>
    </row>
    <row r="88" spans="1:30" s="2" customFormat="1" ht="17.25" thickTop="1">
      <c r="A88"/>
      <c r="B88"/>
      <c r="C88"/>
      <c r="D88"/>
      <c r="E88"/>
      <c r="F88"/>
      <c r="R88" s="15"/>
      <c r="S88" s="15"/>
      <c r="AB88" s="15"/>
    </row>
    <row r="90" spans="1:30" s="2" customFormat="1">
      <c r="A90"/>
      <c r="B90"/>
      <c r="C90"/>
      <c r="D90"/>
      <c r="E90"/>
      <c r="F90"/>
      <c r="R90" s="15"/>
      <c r="S90" s="15"/>
      <c r="AB90" s="15"/>
    </row>
    <row r="91" spans="1:30" s="2" customFormat="1">
      <c r="A91"/>
      <c r="B91"/>
      <c r="C91"/>
      <c r="D91"/>
      <c r="E91"/>
      <c r="F91"/>
      <c r="R91" s="15"/>
      <c r="S91" s="15"/>
      <c r="AB91" s="15"/>
    </row>
    <row r="92" spans="1:30" s="2" customFormat="1">
      <c r="A92"/>
      <c r="B92"/>
      <c r="C92"/>
      <c r="D92"/>
      <c r="E92"/>
      <c r="F92"/>
      <c r="R92" s="15"/>
      <c r="S92" s="15"/>
      <c r="AB92" s="15"/>
    </row>
    <row r="93" spans="1:30" s="2" customFormat="1">
      <c r="A93"/>
      <c r="B93"/>
      <c r="C93"/>
      <c r="D93"/>
      <c r="E93"/>
      <c r="F93"/>
      <c r="R93" s="15"/>
      <c r="S93" s="15"/>
      <c r="AB93" s="15"/>
    </row>
    <row r="94" spans="1:30" s="2" customFormat="1">
      <c r="A94"/>
      <c r="B94"/>
      <c r="C94"/>
      <c r="D94"/>
      <c r="E94"/>
      <c r="F94"/>
      <c r="R94" s="15"/>
      <c r="S94" s="15"/>
      <c r="AB94" s="15"/>
    </row>
    <row r="95" spans="1:30" s="2" customFormat="1">
      <c r="A95"/>
      <c r="B95"/>
      <c r="C95"/>
      <c r="D95"/>
      <c r="E95"/>
      <c r="F95"/>
      <c r="R95" s="15"/>
      <c r="S95" s="15"/>
      <c r="AB95" s="15"/>
    </row>
    <row r="96" spans="1:30" s="2" customFormat="1">
      <c r="A96"/>
      <c r="B96"/>
      <c r="C96"/>
      <c r="D96"/>
      <c r="E96"/>
      <c r="F96"/>
      <c r="R96" s="15"/>
      <c r="S96" s="15"/>
      <c r="AB96" s="15"/>
    </row>
    <row r="97" spans="1:28" s="2" customFormat="1">
      <c r="A97"/>
      <c r="B97"/>
      <c r="C97"/>
      <c r="D97"/>
      <c r="E97"/>
      <c r="F97"/>
      <c r="R97" s="15"/>
      <c r="S97" s="15"/>
      <c r="AB97" s="15"/>
    </row>
    <row r="98" spans="1:28" s="2" customFormat="1">
      <c r="A98"/>
      <c r="B98"/>
      <c r="C98"/>
      <c r="D98"/>
      <c r="E98"/>
      <c r="F98"/>
      <c r="R98" s="15"/>
      <c r="S98" s="15"/>
      <c r="AB98" s="15"/>
    </row>
    <row r="99" spans="1:28" s="2" customFormat="1">
      <c r="A99"/>
      <c r="B99"/>
      <c r="C99"/>
      <c r="D99"/>
      <c r="E99"/>
      <c r="F99"/>
      <c r="R99" s="15"/>
      <c r="S99" s="15"/>
      <c r="AB99" s="15"/>
    </row>
    <row r="100" spans="1:28" s="2" customFormat="1">
      <c r="A100"/>
      <c r="B100"/>
      <c r="C100"/>
      <c r="D100"/>
      <c r="E100"/>
      <c r="F100"/>
      <c r="G100" s="15" t="s">
        <v>125</v>
      </c>
      <c r="H100" s="15"/>
      <c r="I100" s="15"/>
      <c r="L100" s="2">
        <f>AA100/1.1</f>
        <v>58799.999999999993</v>
      </c>
      <c r="M100" s="40"/>
      <c r="N100" s="15"/>
      <c r="R100" s="15"/>
      <c r="S100" s="15"/>
      <c r="AA100" s="15">
        <v>64680</v>
      </c>
      <c r="AB100" s="15"/>
    </row>
    <row r="101" spans="1:28" s="2" customFormat="1">
      <c r="A101"/>
      <c r="B101"/>
      <c r="C101"/>
      <c r="D101"/>
      <c r="E101"/>
      <c r="F101"/>
      <c r="G101" s="15" t="s">
        <v>49</v>
      </c>
      <c r="H101" s="15"/>
      <c r="I101" s="15"/>
      <c r="M101" s="40"/>
      <c r="N101" s="15"/>
      <c r="R101" s="15"/>
      <c r="S101" s="15"/>
      <c r="T101" s="15" t="s">
        <v>174</v>
      </c>
      <c r="AA101" s="15"/>
      <c r="AB101" s="15"/>
    </row>
    <row r="103" spans="1:28" s="2" customFormat="1">
      <c r="A103"/>
      <c r="B103"/>
      <c r="C103"/>
      <c r="D103"/>
      <c r="E103"/>
      <c r="F103"/>
      <c r="G103" s="15"/>
      <c r="H103" s="15"/>
      <c r="I103" s="15"/>
      <c r="N103" s="15"/>
      <c r="R103" s="15"/>
      <c r="S103" s="15"/>
      <c r="AA103" s="15"/>
      <c r="AB103" s="15"/>
    </row>
    <row r="104" spans="1:28" s="2" customFormat="1">
      <c r="A104"/>
      <c r="B104"/>
      <c r="C104"/>
      <c r="D104"/>
      <c r="E104"/>
      <c r="F104"/>
      <c r="G104" s="15" t="s">
        <v>134</v>
      </c>
      <c r="H104" s="15"/>
      <c r="I104" s="15"/>
      <c r="N104" s="15"/>
      <c r="R104" s="15"/>
      <c r="S104" s="15"/>
      <c r="AA104" s="15"/>
      <c r="AB104" s="15"/>
    </row>
    <row r="105" spans="1:28" s="2" customFormat="1">
      <c r="A105"/>
      <c r="B105"/>
      <c r="C105"/>
      <c r="D105"/>
      <c r="E105"/>
      <c r="F105"/>
      <c r="G105" s="15" t="s">
        <v>135</v>
      </c>
      <c r="H105" s="15"/>
      <c r="I105" s="15"/>
      <c r="N105" s="15"/>
      <c r="R105" s="15"/>
      <c r="S105" s="15"/>
      <c r="AA105" s="15"/>
      <c r="AB105" s="15"/>
    </row>
    <row r="106" spans="1:28" s="2" customFormat="1">
      <c r="A106"/>
      <c r="B106"/>
      <c r="C106"/>
      <c r="D106"/>
      <c r="E106"/>
      <c r="F106"/>
      <c r="G106" s="15"/>
      <c r="H106" s="15"/>
      <c r="I106" s="15"/>
      <c r="L106" s="40"/>
      <c r="N106" s="15"/>
      <c r="R106" s="15"/>
      <c r="S106" s="15"/>
      <c r="AA106" s="15"/>
      <c r="AB106" s="15"/>
    </row>
    <row r="107" spans="1:28" s="2" customFormat="1">
      <c r="A107"/>
      <c r="B107"/>
      <c r="C107"/>
      <c r="D107"/>
      <c r="E107"/>
      <c r="F107"/>
      <c r="G107" s="15" t="s">
        <v>69</v>
      </c>
      <c r="H107" s="15"/>
      <c r="I107" s="15"/>
      <c r="N107" s="15"/>
      <c r="R107" s="15"/>
      <c r="S107" s="15"/>
      <c r="AA107" s="15"/>
      <c r="AB107" s="15"/>
    </row>
    <row r="108" spans="1:28" s="2" customFormat="1">
      <c r="A108"/>
      <c r="B108"/>
      <c r="C108"/>
      <c r="D108"/>
      <c r="E108"/>
      <c r="F108"/>
      <c r="G108" s="15"/>
      <c r="H108" s="15"/>
      <c r="I108" s="15"/>
      <c r="L108" s="41"/>
      <c r="N108" s="15"/>
      <c r="R108" s="15"/>
      <c r="S108" s="15"/>
      <c r="AA108" s="15"/>
      <c r="AB108" s="15"/>
    </row>
    <row r="109" spans="1:28" s="2" customFormat="1">
      <c r="A109"/>
      <c r="B109"/>
      <c r="C109"/>
      <c r="D109"/>
      <c r="E109"/>
      <c r="F109"/>
      <c r="G109" s="15"/>
      <c r="H109" s="15"/>
      <c r="I109" s="15"/>
      <c r="N109" s="15"/>
      <c r="R109" s="15"/>
      <c r="S109" s="15"/>
      <c r="AA109" s="15"/>
      <c r="AB109" s="15"/>
    </row>
    <row r="110" spans="1:28" s="2" customFormat="1">
      <c r="A110"/>
      <c r="B110"/>
      <c r="C110"/>
      <c r="D110"/>
      <c r="E110"/>
      <c r="F110"/>
      <c r="G110" s="15" t="s">
        <v>133</v>
      </c>
      <c r="H110" s="15"/>
      <c r="I110" s="15"/>
      <c r="N110" s="15"/>
      <c r="R110" s="15"/>
      <c r="S110" s="15"/>
      <c r="AA110" s="15"/>
      <c r="AB110" s="15"/>
    </row>
    <row r="111" spans="1:28" s="2" customFormat="1">
      <c r="A111"/>
      <c r="B111"/>
      <c r="C111"/>
      <c r="D111"/>
      <c r="E111"/>
      <c r="F111"/>
      <c r="G111" s="15" t="s">
        <v>131</v>
      </c>
      <c r="H111" s="15"/>
      <c r="I111" s="15"/>
      <c r="N111" s="15"/>
      <c r="R111" s="15"/>
      <c r="S111" s="15"/>
      <c r="AA111" s="15"/>
      <c r="AB111" s="15"/>
    </row>
    <row r="112" spans="1:28" s="2" customFormat="1">
      <c r="A112"/>
      <c r="B112"/>
      <c r="C112"/>
      <c r="D112"/>
      <c r="E112"/>
      <c r="F112"/>
      <c r="G112" s="15" t="s">
        <v>132</v>
      </c>
      <c r="H112" s="15"/>
      <c r="I112" s="15"/>
      <c r="N112" s="15"/>
      <c r="R112" s="15"/>
      <c r="S112" s="15"/>
      <c r="AA112" s="15"/>
      <c r="AB112" s="15"/>
    </row>
    <row r="113" spans="1:28" s="2" customFormat="1">
      <c r="A113"/>
      <c r="B113"/>
      <c r="C113"/>
      <c r="D113"/>
      <c r="E113"/>
      <c r="F113"/>
      <c r="G113" s="15"/>
      <c r="H113" s="15"/>
      <c r="I113" s="15"/>
      <c r="L113" s="42"/>
      <c r="N113" s="15"/>
      <c r="R113" s="15"/>
      <c r="S113" s="15"/>
      <c r="AA113" s="15"/>
      <c r="AB113" s="15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C565-5903-4A00-8467-990AD90191F4}">
  <dimension ref="A1:AB107"/>
  <sheetViews>
    <sheetView topLeftCell="E1" zoomScale="85" zoomScaleNormal="85" workbookViewId="0">
      <pane ySplit="3" topLeftCell="A4" activePane="bottomLeft" state="frozen"/>
      <selection activeCell="D1" sqref="D1"/>
      <selection pane="bottomLeft" activeCell="H15" sqref="H15"/>
    </sheetView>
  </sheetViews>
  <sheetFormatPr defaultRowHeight="16.5"/>
  <cols>
    <col min="2" max="2" width="6" customWidth="1"/>
    <col min="3" max="4" width="4.5" customWidth="1"/>
    <col min="5" max="5" width="7.375" bestFit="1" customWidth="1"/>
    <col min="6" max="6" width="9.875" customWidth="1"/>
    <col min="7" max="7" width="20.25" style="15" bestFit="1" customWidth="1"/>
    <col min="8" max="9" width="9" customWidth="1"/>
    <col min="10" max="10" width="14" style="2" customWidth="1"/>
    <col min="11" max="11" width="10.875" style="2" customWidth="1"/>
    <col min="12" max="12" width="8.875" style="15" customWidth="1"/>
    <col min="13" max="13" width="13.5" style="2" customWidth="1"/>
    <col min="14" max="14" width="9.25" style="2" customWidth="1"/>
    <col min="15" max="15" width="10" style="2" customWidth="1"/>
    <col min="16" max="16" width="8.25" style="15" bestFit="1" customWidth="1"/>
    <col min="17" max="17" width="8.25" style="15" customWidth="1"/>
    <col min="18" max="21" width="9" style="2"/>
    <col min="22" max="22" width="12.25" style="2" customWidth="1"/>
    <col min="23" max="23" width="9" style="2" customWidth="1"/>
    <col min="24" max="24" width="9" style="2"/>
    <col min="25" max="26" width="15.125" style="15" customWidth="1"/>
    <col min="27" max="27" width="9" style="2" customWidth="1"/>
    <col min="28" max="28" width="9" style="2"/>
  </cols>
  <sheetData>
    <row r="1" spans="1:28">
      <c r="H1" s="2"/>
      <c r="I1" s="2"/>
      <c r="W1" s="15"/>
      <c r="X1" s="15"/>
      <c r="Y1" s="2"/>
      <c r="Z1" s="2"/>
      <c r="AA1"/>
      <c r="AB1"/>
    </row>
    <row r="2" spans="1:28" ht="17.25" thickBot="1">
      <c r="H2" s="2"/>
      <c r="I2" s="2"/>
      <c r="W2" s="15"/>
      <c r="X2" s="15"/>
      <c r="Y2" s="2"/>
      <c r="Z2" s="2"/>
      <c r="AA2"/>
      <c r="AB2"/>
    </row>
    <row r="3" spans="1:28" s="13" customFormat="1" ht="23.25" customHeight="1" thickBot="1">
      <c r="A3" s="13" t="s">
        <v>46</v>
      </c>
      <c r="E3" s="115" t="s">
        <v>200</v>
      </c>
      <c r="F3" s="114"/>
      <c r="G3" s="59" t="s">
        <v>198</v>
      </c>
      <c r="H3" s="17" t="s">
        <v>75</v>
      </c>
      <c r="I3" s="19" t="s">
        <v>300</v>
      </c>
      <c r="J3" s="18" t="s">
        <v>72</v>
      </c>
      <c r="K3" s="59" t="s">
        <v>74</v>
      </c>
      <c r="L3" s="76" t="s">
        <v>190</v>
      </c>
      <c r="M3" s="62" t="s">
        <v>156</v>
      </c>
      <c r="N3" s="19" t="s">
        <v>121</v>
      </c>
      <c r="O3" s="54" t="s">
        <v>54</v>
      </c>
      <c r="P3" s="202" t="s">
        <v>116</v>
      </c>
      <c r="Q3" s="202" t="s">
        <v>339</v>
      </c>
      <c r="R3" s="55" t="s">
        <v>189</v>
      </c>
      <c r="S3" s="56" t="s">
        <v>53</v>
      </c>
      <c r="T3" s="66" t="s">
        <v>195</v>
      </c>
      <c r="U3" s="67" t="s">
        <v>196</v>
      </c>
      <c r="V3" s="68" t="s">
        <v>197</v>
      </c>
      <c r="W3" s="75" t="s">
        <v>159</v>
      </c>
      <c r="X3" s="75" t="s">
        <v>11</v>
      </c>
      <c r="Y3" s="19" t="s">
        <v>199</v>
      </c>
      <c r="Z3" s="15"/>
    </row>
    <row r="4" spans="1:28" s="13" customFormat="1" ht="20.100000000000001" customHeight="1" thickTop="1" thickBot="1">
      <c r="E4" s="116"/>
      <c r="F4" s="13" t="s">
        <v>192</v>
      </c>
      <c r="G4" s="16" t="s">
        <v>0</v>
      </c>
      <c r="H4" s="51">
        <v>400</v>
      </c>
      <c r="I4" s="52"/>
      <c r="J4" s="53">
        <v>100</v>
      </c>
      <c r="K4" s="60"/>
      <c r="L4" s="77">
        <v>100</v>
      </c>
      <c r="M4" s="63">
        <v>100</v>
      </c>
      <c r="N4" s="52">
        <v>150</v>
      </c>
      <c r="O4" s="51"/>
      <c r="P4" s="53"/>
      <c r="Q4" s="53"/>
      <c r="R4" s="53"/>
      <c r="S4" s="52"/>
      <c r="T4" s="69"/>
      <c r="U4" s="70"/>
      <c r="V4" s="71"/>
      <c r="W4" s="47"/>
      <c r="X4" s="47"/>
      <c r="Y4" s="58"/>
      <c r="Z4" s="15"/>
    </row>
    <row r="5" spans="1:28" s="13" customFormat="1" ht="20.100000000000001" customHeight="1" thickTop="1" thickBot="1">
      <c r="E5" s="116"/>
      <c r="G5" s="16" t="s">
        <v>8</v>
      </c>
      <c r="H5" s="51">
        <v>100</v>
      </c>
      <c r="I5" s="52"/>
      <c r="J5" s="53"/>
      <c r="K5" s="60"/>
      <c r="L5" s="77"/>
      <c r="M5" s="64"/>
      <c r="N5" s="52">
        <v>100</v>
      </c>
      <c r="O5" s="51"/>
      <c r="P5" s="53"/>
      <c r="Q5" s="53"/>
      <c r="R5" s="53"/>
      <c r="S5" s="52"/>
      <c r="T5" s="69"/>
      <c r="U5" s="70"/>
      <c r="V5" s="71"/>
      <c r="W5" s="47"/>
      <c r="X5" s="47"/>
      <c r="Y5" s="58"/>
      <c r="Z5" s="15"/>
    </row>
    <row r="6" spans="1:28" s="13" customFormat="1" ht="20.100000000000001" customHeight="1" thickTop="1" thickBot="1">
      <c r="E6" s="116"/>
      <c r="G6" s="16"/>
      <c r="H6" s="29"/>
      <c r="I6" s="57"/>
      <c r="J6" s="14"/>
      <c r="K6" s="16"/>
      <c r="L6" s="77"/>
      <c r="M6" s="64"/>
      <c r="N6" s="57"/>
      <c r="O6" s="29"/>
      <c r="P6" s="14"/>
      <c r="Q6" s="14"/>
      <c r="R6" s="14"/>
      <c r="S6" s="57"/>
      <c r="T6" s="69"/>
      <c r="U6" s="70"/>
      <c r="V6" s="71"/>
      <c r="W6" s="27"/>
      <c r="X6" s="27"/>
      <c r="Y6" s="58"/>
      <c r="Z6" s="15"/>
    </row>
    <row r="7" spans="1:28" s="13" customFormat="1" ht="20.100000000000001" customHeight="1" thickTop="1" thickBot="1">
      <c r="E7" s="116"/>
      <c r="G7" s="16" t="s">
        <v>176</v>
      </c>
      <c r="H7" s="51">
        <v>200</v>
      </c>
      <c r="I7" s="52">
        <v>200</v>
      </c>
      <c r="J7" s="53"/>
      <c r="K7" s="60"/>
      <c r="L7" s="77">
        <v>100</v>
      </c>
      <c r="M7" s="64"/>
      <c r="N7" s="52">
        <v>100</v>
      </c>
      <c r="O7" s="51"/>
      <c r="P7" s="53"/>
      <c r="Q7" s="53"/>
      <c r="R7" s="53"/>
      <c r="S7" s="52"/>
      <c r="T7" s="69"/>
      <c r="U7" s="70"/>
      <c r="V7" s="71"/>
      <c r="W7" s="47"/>
      <c r="X7" s="47"/>
      <c r="Y7" s="58"/>
      <c r="Z7" s="15"/>
    </row>
    <row r="8" spans="1:28" s="13" customFormat="1" ht="20.100000000000001" customHeight="1" thickTop="1" thickBot="1">
      <c r="E8" s="116"/>
      <c r="G8" s="16" t="s">
        <v>177</v>
      </c>
      <c r="H8" s="51">
        <v>100</v>
      </c>
      <c r="I8" s="52"/>
      <c r="J8" s="53"/>
      <c r="K8" s="60"/>
      <c r="L8" s="77"/>
      <c r="M8" s="64"/>
      <c r="N8" s="52"/>
      <c r="O8" s="51"/>
      <c r="P8" s="53"/>
      <c r="Q8" s="53"/>
      <c r="R8" s="53"/>
      <c r="S8" s="52"/>
      <c r="T8" s="69"/>
      <c r="U8" s="70"/>
      <c r="V8" s="71"/>
      <c r="W8" s="47"/>
      <c r="X8" s="47"/>
      <c r="Y8" s="58"/>
      <c r="Z8" s="15"/>
    </row>
    <row r="9" spans="1:28" s="13" customFormat="1" ht="20.100000000000001" customHeight="1" thickTop="1" thickBot="1">
      <c r="E9" s="116"/>
      <c r="G9" s="16" t="s">
        <v>181</v>
      </c>
      <c r="H9" s="51">
        <v>150</v>
      </c>
      <c r="I9" s="52"/>
      <c r="J9" s="53"/>
      <c r="K9" s="60"/>
      <c r="L9" s="77"/>
      <c r="M9" s="64"/>
      <c r="N9" s="52">
        <v>50</v>
      </c>
      <c r="O9" s="51"/>
      <c r="P9" s="53"/>
      <c r="Q9" s="53"/>
      <c r="R9" s="53"/>
      <c r="S9" s="52"/>
      <c r="T9" s="69"/>
      <c r="U9" s="70"/>
      <c r="V9" s="71"/>
      <c r="W9" s="47"/>
      <c r="X9" s="47"/>
      <c r="Y9" s="58"/>
      <c r="Z9" s="15"/>
    </row>
    <row r="10" spans="1:28" s="13" customFormat="1" ht="20.100000000000001" customHeight="1" thickTop="1" thickBot="1">
      <c r="E10" s="116"/>
      <c r="G10" s="16" t="s">
        <v>182</v>
      </c>
      <c r="H10" s="51">
        <v>150</v>
      </c>
      <c r="I10" s="52"/>
      <c r="J10" s="53"/>
      <c r="K10" s="60"/>
      <c r="L10" s="77"/>
      <c r="M10" s="64"/>
      <c r="N10" s="52">
        <v>50</v>
      </c>
      <c r="O10" s="51"/>
      <c r="P10" s="53"/>
      <c r="Q10" s="53"/>
      <c r="R10" s="53"/>
      <c r="S10" s="52"/>
      <c r="T10" s="69"/>
      <c r="U10" s="70"/>
      <c r="V10" s="71"/>
      <c r="W10" s="47"/>
      <c r="X10" s="47"/>
      <c r="Y10" s="58"/>
      <c r="Z10" s="15"/>
    </row>
    <row r="11" spans="1:28" s="13" customFormat="1" ht="20.100000000000001" customHeight="1" thickTop="1" thickBot="1">
      <c r="E11" s="116"/>
      <c r="G11" s="16" t="s">
        <v>183</v>
      </c>
      <c r="H11" s="51">
        <v>200</v>
      </c>
      <c r="I11" s="52">
        <v>100</v>
      </c>
      <c r="J11" s="53"/>
      <c r="K11" s="60"/>
      <c r="L11" s="77"/>
      <c r="M11" s="64"/>
      <c r="N11" s="52">
        <v>100</v>
      </c>
      <c r="O11" s="51"/>
      <c r="P11" s="53"/>
      <c r="Q11" s="53"/>
      <c r="R11" s="53"/>
      <c r="S11" s="52"/>
      <c r="T11" s="69"/>
      <c r="U11" s="70"/>
      <c r="V11" s="71"/>
      <c r="W11" s="47"/>
      <c r="X11" s="47"/>
      <c r="Y11" s="58"/>
      <c r="Z11" s="15"/>
    </row>
    <row r="12" spans="1:28" s="13" customFormat="1" ht="20.100000000000001" customHeight="1" thickTop="1" thickBot="1">
      <c r="E12" s="116"/>
      <c r="G12" s="16" t="s">
        <v>187</v>
      </c>
      <c r="H12" s="51">
        <v>100</v>
      </c>
      <c r="I12" s="52"/>
      <c r="J12" s="53"/>
      <c r="K12" s="60"/>
      <c r="L12" s="77"/>
      <c r="M12" s="64">
        <v>100</v>
      </c>
      <c r="N12" s="52"/>
      <c r="O12" s="51"/>
      <c r="P12" s="53" t="s">
        <v>62</v>
      </c>
      <c r="Q12" s="53"/>
      <c r="R12" s="53"/>
      <c r="S12" s="52"/>
      <c r="T12" s="69"/>
      <c r="U12" s="70"/>
      <c r="V12" s="71"/>
      <c r="W12" s="47"/>
      <c r="X12" s="47"/>
      <c r="Y12" s="58"/>
      <c r="Z12" s="15"/>
    </row>
    <row r="13" spans="1:28" s="13" customFormat="1" ht="20.100000000000001" customHeight="1" thickTop="1" thickBot="1">
      <c r="E13" s="116"/>
      <c r="G13" s="16" t="s">
        <v>184</v>
      </c>
      <c r="H13" s="51"/>
      <c r="I13" s="52"/>
      <c r="J13" s="53"/>
      <c r="K13" s="60"/>
      <c r="L13" s="77"/>
      <c r="M13" s="64"/>
      <c r="N13" s="52"/>
      <c r="O13" s="51"/>
      <c r="P13" s="53"/>
      <c r="Q13" s="53"/>
      <c r="R13" s="53"/>
      <c r="S13" s="52"/>
      <c r="T13" s="69"/>
      <c r="U13" s="70"/>
      <c r="V13" s="71"/>
      <c r="W13" s="47"/>
      <c r="X13" s="47"/>
      <c r="Y13" s="58"/>
      <c r="Z13" s="15"/>
    </row>
    <row r="14" spans="1:28" s="13" customFormat="1" ht="20.100000000000001" customHeight="1" thickTop="1" thickBot="1">
      <c r="E14" s="116"/>
      <c r="G14" s="16" t="s">
        <v>185</v>
      </c>
      <c r="H14" s="51">
        <v>50</v>
      </c>
      <c r="I14" s="52"/>
      <c r="J14" s="53"/>
      <c r="K14" s="60"/>
      <c r="L14" s="77"/>
      <c r="M14" s="64"/>
      <c r="N14" s="52">
        <v>50</v>
      </c>
      <c r="O14" s="51"/>
      <c r="P14" s="53"/>
      <c r="Q14" s="53"/>
      <c r="R14" s="53"/>
      <c r="S14" s="52"/>
      <c r="T14" s="69"/>
      <c r="U14" s="70"/>
      <c r="V14" s="71"/>
      <c r="W14" s="47"/>
      <c r="X14" s="47"/>
      <c r="Y14" s="58"/>
      <c r="Z14" s="15"/>
    </row>
    <row r="15" spans="1:28" s="13" customFormat="1" ht="20.100000000000001" customHeight="1" thickTop="1" thickBot="1">
      <c r="B15" s="13" t="s">
        <v>51</v>
      </c>
      <c r="E15" s="116"/>
      <c r="G15" s="16" t="s">
        <v>188</v>
      </c>
      <c r="H15" s="51"/>
      <c r="I15" s="52"/>
      <c r="J15" s="53"/>
      <c r="K15" s="60"/>
      <c r="L15" s="77"/>
      <c r="M15" s="64"/>
      <c r="N15" s="52"/>
      <c r="O15" s="51"/>
      <c r="P15" s="53"/>
      <c r="Q15" s="53"/>
      <c r="R15" s="53"/>
      <c r="S15" s="52"/>
      <c r="T15" s="69"/>
      <c r="U15" s="70"/>
      <c r="V15" s="71"/>
      <c r="W15" s="47"/>
      <c r="X15" s="47"/>
      <c r="Y15" s="58"/>
      <c r="Z15" s="15"/>
    </row>
    <row r="16" spans="1:28" s="13" customFormat="1" ht="20.100000000000001" customHeight="1" thickTop="1" thickBot="1">
      <c r="E16" s="116"/>
      <c r="G16" s="16" t="s">
        <v>186</v>
      </c>
      <c r="H16" s="51"/>
      <c r="I16" s="52"/>
      <c r="J16" s="53"/>
      <c r="K16" s="60"/>
      <c r="L16" s="77"/>
      <c r="M16" s="64"/>
      <c r="N16" s="52"/>
      <c r="O16" s="51"/>
      <c r="P16" s="53"/>
      <c r="Q16" s="53"/>
      <c r="R16" s="53"/>
      <c r="S16" s="52"/>
      <c r="T16" s="69"/>
      <c r="U16" s="70"/>
      <c r="V16" s="71"/>
      <c r="W16" s="47"/>
      <c r="X16" s="47"/>
      <c r="Y16" s="58"/>
      <c r="Z16" s="15"/>
    </row>
    <row r="17" spans="1:28" s="13" customFormat="1" ht="20.100000000000001" customHeight="1" thickTop="1" thickBot="1">
      <c r="E17" s="116"/>
      <c r="G17" s="117" t="s">
        <v>1</v>
      </c>
      <c r="H17" s="118">
        <v>400</v>
      </c>
      <c r="I17" s="119"/>
      <c r="J17" s="120"/>
      <c r="K17" s="121"/>
      <c r="L17" s="122">
        <v>100</v>
      </c>
      <c r="M17" s="123">
        <v>100</v>
      </c>
      <c r="N17" s="119">
        <v>150</v>
      </c>
      <c r="O17" s="118"/>
      <c r="P17" s="120"/>
      <c r="Q17" s="120"/>
      <c r="R17" s="120"/>
      <c r="S17" s="119"/>
      <c r="T17" s="124"/>
      <c r="U17" s="125"/>
      <c r="V17" s="126"/>
      <c r="W17" s="127"/>
      <c r="X17" s="127"/>
      <c r="Y17" s="128"/>
      <c r="Z17" s="15"/>
    </row>
    <row r="18" spans="1:28" s="13" customFormat="1" ht="20.100000000000001" customHeight="1" thickTop="1" thickBot="1">
      <c r="E18" s="116"/>
      <c r="G18" s="16"/>
      <c r="H18" s="29"/>
      <c r="I18" s="57"/>
      <c r="J18" s="14"/>
      <c r="K18" s="16"/>
      <c r="L18" s="77"/>
      <c r="M18" s="64"/>
      <c r="N18" s="57"/>
      <c r="O18" s="29"/>
      <c r="P18" s="14"/>
      <c r="Q18" s="14"/>
      <c r="R18" s="14"/>
      <c r="S18" s="57"/>
      <c r="T18" s="69"/>
      <c r="U18" s="70"/>
      <c r="V18" s="71"/>
      <c r="W18" s="27"/>
      <c r="X18" s="27"/>
      <c r="Y18" s="58"/>
      <c r="Z18" s="15"/>
    </row>
    <row r="19" spans="1:28" s="13" customFormat="1" ht="20.100000000000001" customHeight="1" thickTop="1" thickBot="1">
      <c r="E19" s="116"/>
      <c r="F19" s="13" t="s">
        <v>193</v>
      </c>
      <c r="G19" s="16" t="s">
        <v>175</v>
      </c>
      <c r="H19" s="51">
        <v>500</v>
      </c>
      <c r="I19" s="52"/>
      <c r="J19" s="53">
        <v>400</v>
      </c>
      <c r="K19" s="60"/>
      <c r="L19" s="77">
        <v>100</v>
      </c>
      <c r="M19" s="64"/>
      <c r="N19" s="52">
        <v>200</v>
      </c>
      <c r="O19" s="51"/>
      <c r="P19" s="53"/>
      <c r="Q19" s="53"/>
      <c r="R19" s="53"/>
      <c r="S19" s="52"/>
      <c r="T19" s="69"/>
      <c r="U19" s="70"/>
      <c r="V19" s="71"/>
      <c r="W19" s="47"/>
      <c r="X19" s="47"/>
      <c r="Y19" s="58"/>
      <c r="Z19" s="15"/>
    </row>
    <row r="20" spans="1:28" ht="20.100000000000001" customHeight="1" thickTop="1" thickBot="1">
      <c r="A20" s="13" t="s">
        <v>32</v>
      </c>
      <c r="B20" s="13" t="s">
        <v>51</v>
      </c>
      <c r="C20" s="13"/>
      <c r="D20" s="13"/>
      <c r="E20" s="116"/>
      <c r="F20" s="13"/>
      <c r="G20" s="16" t="s">
        <v>33</v>
      </c>
      <c r="H20" s="29">
        <v>200</v>
      </c>
      <c r="I20" s="57"/>
      <c r="J20" s="14">
        <v>200</v>
      </c>
      <c r="K20" s="16"/>
      <c r="L20" s="77">
        <v>100</v>
      </c>
      <c r="M20" s="129">
        <v>100</v>
      </c>
      <c r="N20" s="21"/>
      <c r="O20" s="29"/>
      <c r="P20" s="14"/>
      <c r="Q20" s="14"/>
      <c r="R20" s="5"/>
      <c r="S20" s="21"/>
      <c r="T20" s="69"/>
      <c r="U20" s="70"/>
      <c r="V20" s="71"/>
      <c r="W20" s="27"/>
      <c r="X20" s="27"/>
      <c r="Y20" s="58"/>
      <c r="Z20" s="2"/>
      <c r="AA20"/>
      <c r="AB20"/>
    </row>
    <row r="21" spans="1:28" s="13" customFormat="1" ht="20.100000000000001" customHeight="1" thickTop="1" thickBot="1">
      <c r="E21" s="116"/>
      <c r="G21" s="16"/>
      <c r="H21" s="51"/>
      <c r="I21" s="52"/>
      <c r="J21" s="53"/>
      <c r="K21" s="60"/>
      <c r="L21" s="77"/>
      <c r="M21" s="64"/>
      <c r="N21" s="52"/>
      <c r="O21" s="51"/>
      <c r="P21" s="53"/>
      <c r="Q21" s="53"/>
      <c r="R21" s="53"/>
      <c r="S21" s="52"/>
      <c r="T21" s="69"/>
      <c r="U21" s="70"/>
      <c r="V21" s="71"/>
      <c r="W21" s="47"/>
      <c r="X21" s="47"/>
      <c r="Y21" s="58"/>
      <c r="Z21" s="15"/>
    </row>
    <row r="22" spans="1:28" s="13" customFormat="1" ht="20.100000000000001" customHeight="1" thickTop="1" thickBot="1">
      <c r="E22" s="116"/>
      <c r="F22" s="13" t="s">
        <v>194</v>
      </c>
      <c r="G22" s="16" t="s">
        <v>5</v>
      </c>
      <c r="H22" s="51">
        <v>100</v>
      </c>
      <c r="I22" s="52"/>
      <c r="J22" s="53"/>
      <c r="K22" s="60"/>
      <c r="L22" s="77"/>
      <c r="M22" s="64"/>
      <c r="N22" s="52"/>
      <c r="O22" s="51"/>
      <c r="P22" s="53"/>
      <c r="Q22" s="53"/>
      <c r="R22" s="53"/>
      <c r="S22" s="52"/>
      <c r="T22" s="69"/>
      <c r="U22" s="70"/>
      <c r="V22" s="71"/>
      <c r="W22" s="47"/>
      <c r="X22" s="47"/>
      <c r="Y22" s="58"/>
      <c r="Z22" s="15"/>
    </row>
    <row r="23" spans="1:28" s="13" customFormat="1" ht="20.100000000000001" customHeight="1" thickTop="1" thickBot="1">
      <c r="E23" s="116"/>
      <c r="G23" s="16" t="s">
        <v>6</v>
      </c>
      <c r="H23" s="51">
        <v>200</v>
      </c>
      <c r="I23" s="52"/>
      <c r="J23" s="53"/>
      <c r="K23" s="60"/>
      <c r="L23" s="77"/>
      <c r="M23" s="64"/>
      <c r="N23" s="52"/>
      <c r="O23" s="51"/>
      <c r="P23" s="53"/>
      <c r="Q23" s="53"/>
      <c r="R23" s="53"/>
      <c r="S23" s="52"/>
      <c r="T23" s="69"/>
      <c r="U23" s="70"/>
      <c r="V23" s="71"/>
      <c r="W23" s="47"/>
      <c r="X23" s="47"/>
      <c r="Y23" s="58"/>
      <c r="Z23" s="15"/>
    </row>
    <row r="24" spans="1:28" s="13" customFormat="1" ht="20.100000000000001" customHeight="1" thickTop="1" thickBot="1">
      <c r="E24" s="116"/>
      <c r="G24" s="16" t="s">
        <v>179</v>
      </c>
      <c r="H24" s="51"/>
      <c r="I24" s="52"/>
      <c r="J24" s="53"/>
      <c r="K24" s="60"/>
      <c r="L24" s="77"/>
      <c r="M24" s="64"/>
      <c r="N24" s="52"/>
      <c r="O24" s="51"/>
      <c r="P24" s="53"/>
      <c r="Q24" s="53"/>
      <c r="R24" s="53"/>
      <c r="S24" s="52"/>
      <c r="T24" s="69"/>
      <c r="U24" s="70"/>
      <c r="V24" s="71"/>
      <c r="W24" s="47"/>
      <c r="X24" s="47"/>
      <c r="Y24" s="58"/>
      <c r="Z24" s="15"/>
    </row>
    <row r="25" spans="1:28" s="13" customFormat="1" ht="20.100000000000001" customHeight="1" thickTop="1" thickBot="1">
      <c r="E25" s="116"/>
      <c r="G25" s="16"/>
      <c r="H25" s="51"/>
      <c r="I25" s="52"/>
      <c r="J25" s="53"/>
      <c r="K25" s="60"/>
      <c r="L25" s="77"/>
      <c r="M25" s="64"/>
      <c r="N25" s="52"/>
      <c r="O25" s="51"/>
      <c r="P25" s="53"/>
      <c r="Q25" s="53"/>
      <c r="R25" s="53"/>
      <c r="S25" s="52"/>
      <c r="T25" s="69"/>
      <c r="U25" s="70"/>
      <c r="V25" s="71"/>
      <c r="W25" s="47"/>
      <c r="X25" s="47"/>
      <c r="Y25" s="58"/>
      <c r="Z25" s="15"/>
    </row>
    <row r="26" spans="1:28" s="13" customFormat="1" ht="20.100000000000001" customHeight="1" thickTop="1">
      <c r="G26" s="16"/>
      <c r="H26" s="29"/>
      <c r="I26" s="57"/>
      <c r="J26" s="14"/>
      <c r="K26" s="16"/>
      <c r="L26" s="83"/>
      <c r="M26" s="64"/>
      <c r="N26" s="57"/>
      <c r="O26" s="29"/>
      <c r="P26" s="14"/>
      <c r="Q26" s="14"/>
      <c r="R26" s="14"/>
      <c r="S26" s="57"/>
      <c r="T26" s="69"/>
      <c r="U26" s="70"/>
      <c r="V26" s="71"/>
      <c r="W26" s="15"/>
      <c r="X26" s="15"/>
      <c r="Y26" s="15"/>
      <c r="Z26" s="15"/>
    </row>
    <row r="27" spans="1:28" s="13" customFormat="1" ht="20.100000000000001" customHeight="1">
      <c r="F27" s="13" t="s">
        <v>91</v>
      </c>
      <c r="G27" s="16" t="s">
        <v>299</v>
      </c>
      <c r="H27" s="29"/>
      <c r="I27" s="57"/>
      <c r="J27" s="14"/>
      <c r="K27" s="16"/>
      <c r="L27" s="83"/>
      <c r="M27" s="64"/>
      <c r="N27" s="57"/>
      <c r="O27" s="29"/>
      <c r="P27" s="14"/>
      <c r="Q27" s="14"/>
      <c r="R27" s="14"/>
      <c r="S27" s="57"/>
      <c r="T27" s="69"/>
      <c r="U27" s="70"/>
      <c r="V27" s="71"/>
      <c r="W27" s="15"/>
      <c r="X27" s="15"/>
      <c r="Y27" s="15"/>
      <c r="Z27" s="15"/>
    </row>
    <row r="28" spans="1:28" s="13" customFormat="1" ht="20.100000000000001" customHeight="1">
      <c r="G28" s="16" t="s">
        <v>323</v>
      </c>
      <c r="H28" s="29">
        <v>100</v>
      </c>
      <c r="I28" s="57"/>
      <c r="J28" s="14"/>
      <c r="K28" s="16"/>
      <c r="L28" s="83"/>
      <c r="M28" s="64"/>
      <c r="N28" s="57">
        <v>50</v>
      </c>
      <c r="O28" s="29"/>
      <c r="P28" s="14" t="s">
        <v>117</v>
      </c>
      <c r="Q28" s="14"/>
      <c r="R28" s="14"/>
      <c r="S28" s="57"/>
      <c r="T28" s="69"/>
      <c r="U28" s="70"/>
      <c r="V28" s="71"/>
      <c r="W28" s="47"/>
      <c r="X28" s="47"/>
      <c r="Y28" s="15"/>
      <c r="Z28" s="15"/>
    </row>
    <row r="29" spans="1:28" s="102" customFormat="1" ht="20.100000000000001" customHeight="1">
      <c r="G29" s="103">
        <f>SUBTOTAL(109,G4:G25)</f>
        <v>0</v>
      </c>
      <c r="H29" s="104">
        <f>SUBTOTAL(109,H4:H28)</f>
        <v>2950</v>
      </c>
      <c r="I29" s="105"/>
      <c r="J29" s="106">
        <f>SUBTOTAL(109,J4:J28)</f>
        <v>700</v>
      </c>
      <c r="K29" s="103"/>
      <c r="L29" s="107"/>
      <c r="M29" s="108">
        <f>SUBTOTAL(109,M4:M28)</f>
        <v>400</v>
      </c>
      <c r="N29" s="105">
        <f>SUBTOTAL(109,N4:N28)</f>
        <v>1000</v>
      </c>
      <c r="O29" s="104"/>
      <c r="P29" s="106"/>
      <c r="Q29" s="106"/>
      <c r="R29" s="106"/>
      <c r="S29" s="105"/>
      <c r="T29" s="109"/>
      <c r="U29" s="110"/>
      <c r="V29" s="111"/>
      <c r="W29" s="112"/>
      <c r="X29" s="112"/>
      <c r="Y29" s="113"/>
      <c r="Z29" s="113"/>
    </row>
    <row r="30" spans="1:28" s="15" customFormat="1" ht="20.100000000000001" customHeight="1" thickBot="1">
      <c r="G30" s="60"/>
      <c r="H30" s="51"/>
      <c r="I30" s="52"/>
      <c r="J30" s="53"/>
      <c r="K30" s="60"/>
      <c r="L30" s="78"/>
      <c r="M30" s="63"/>
      <c r="N30" s="52"/>
      <c r="O30" s="51"/>
      <c r="P30" s="53"/>
      <c r="Q30" s="53"/>
      <c r="R30" s="53"/>
      <c r="S30" s="52"/>
      <c r="T30" s="72"/>
      <c r="U30" s="73"/>
      <c r="V30" s="74"/>
      <c r="W30" s="47"/>
      <c r="X30" s="47"/>
    </row>
    <row r="31" spans="1:28" s="13" customFormat="1" ht="20.100000000000001" customHeight="1" thickTop="1" thickBot="1">
      <c r="G31" s="59" t="s">
        <v>198</v>
      </c>
      <c r="H31" s="17" t="s">
        <v>75</v>
      </c>
      <c r="I31" s="19" t="s">
        <v>300</v>
      </c>
      <c r="J31" s="18" t="s">
        <v>72</v>
      </c>
      <c r="K31" s="59" t="s">
        <v>74</v>
      </c>
      <c r="L31" s="76" t="s">
        <v>190</v>
      </c>
      <c r="M31" s="62" t="s">
        <v>156</v>
      </c>
      <c r="N31" s="19" t="s">
        <v>121</v>
      </c>
      <c r="O31" s="54" t="s">
        <v>54</v>
      </c>
      <c r="P31" s="53"/>
      <c r="Q31" s="53"/>
      <c r="R31" s="53"/>
      <c r="S31" s="52"/>
      <c r="T31" s="69"/>
      <c r="U31" s="70"/>
      <c r="V31" s="71"/>
      <c r="W31" s="47"/>
      <c r="X31" s="47"/>
      <c r="Y31" s="15"/>
      <c r="Z31" s="15"/>
    </row>
    <row r="32" spans="1:28" s="13" customFormat="1" ht="20.100000000000001" customHeight="1" thickTop="1" thickBot="1">
      <c r="B32" s="13" t="s">
        <v>51</v>
      </c>
      <c r="F32" s="13" t="s">
        <v>46</v>
      </c>
      <c r="G32" s="16" t="s">
        <v>28</v>
      </c>
      <c r="H32" s="51">
        <v>200</v>
      </c>
      <c r="I32" s="52"/>
      <c r="J32" s="53"/>
      <c r="K32" s="60"/>
      <c r="L32" s="77">
        <v>100</v>
      </c>
      <c r="M32" s="65"/>
      <c r="N32" s="52">
        <v>100</v>
      </c>
      <c r="O32" s="51"/>
      <c r="P32" s="53"/>
      <c r="Q32" s="53"/>
      <c r="R32" s="53"/>
      <c r="S32" s="52"/>
      <c r="T32" s="69"/>
      <c r="U32" s="70"/>
      <c r="V32" s="71"/>
      <c r="W32" s="47"/>
      <c r="X32" s="47"/>
      <c r="Y32" s="15"/>
      <c r="Z32" s="15"/>
    </row>
    <row r="33" spans="2:28" s="13" customFormat="1" ht="20.100000000000001" customHeight="1" thickTop="1" thickBot="1">
      <c r="G33" s="16" t="s">
        <v>27</v>
      </c>
      <c r="H33" s="29">
        <v>300</v>
      </c>
      <c r="I33" s="57"/>
      <c r="J33" s="14"/>
      <c r="K33" s="16"/>
      <c r="L33" s="77">
        <v>100</v>
      </c>
      <c r="M33" s="65"/>
      <c r="N33" s="57">
        <v>100</v>
      </c>
      <c r="O33" s="29"/>
      <c r="P33" s="14"/>
      <c r="Q33" s="14"/>
      <c r="R33" s="14"/>
      <c r="S33" s="57"/>
      <c r="T33" s="69"/>
      <c r="U33" s="70"/>
      <c r="V33" s="71"/>
      <c r="W33" s="47"/>
      <c r="X33" s="47"/>
      <c r="Y33" s="15"/>
      <c r="Z33" s="15"/>
    </row>
    <row r="34" spans="2:28" s="13" customFormat="1" ht="20.100000000000001" customHeight="1" thickTop="1" thickBot="1">
      <c r="B34" s="13" t="s">
        <v>51</v>
      </c>
      <c r="G34" s="16" t="s">
        <v>29</v>
      </c>
      <c r="H34" s="51">
        <v>250</v>
      </c>
      <c r="I34" s="52"/>
      <c r="J34" s="53"/>
      <c r="K34" s="60"/>
      <c r="L34" s="77">
        <v>100</v>
      </c>
      <c r="M34" s="64"/>
      <c r="N34" s="52">
        <v>100</v>
      </c>
      <c r="O34" s="29"/>
      <c r="P34" s="53"/>
      <c r="Q34" s="53"/>
      <c r="R34" s="53"/>
      <c r="S34" s="52"/>
      <c r="T34" s="69"/>
      <c r="U34" s="70"/>
      <c r="V34" s="71"/>
      <c r="W34" s="47"/>
      <c r="X34" s="47"/>
      <c r="Y34" s="15"/>
      <c r="Z34" s="15"/>
    </row>
    <row r="35" spans="2:28" s="13" customFormat="1" ht="20.100000000000001" customHeight="1" thickTop="1" thickBot="1">
      <c r="B35" s="13" t="s">
        <v>51</v>
      </c>
      <c r="G35" s="16" t="s">
        <v>30</v>
      </c>
      <c r="H35" s="51">
        <v>300</v>
      </c>
      <c r="I35" s="52"/>
      <c r="J35" s="53"/>
      <c r="K35" s="60"/>
      <c r="L35" s="77">
        <v>100</v>
      </c>
      <c r="M35" s="65"/>
      <c r="N35" s="52">
        <v>100</v>
      </c>
      <c r="O35" s="29"/>
      <c r="P35" s="53"/>
      <c r="Q35" s="53"/>
      <c r="R35" s="53"/>
      <c r="S35" s="52"/>
      <c r="T35" s="69"/>
      <c r="U35" s="70"/>
      <c r="V35" s="71"/>
      <c r="W35" s="47"/>
      <c r="X35" s="47"/>
      <c r="Y35" s="15"/>
      <c r="Z35" s="15"/>
    </row>
    <row r="36" spans="2:28" s="13" customFormat="1" ht="20.100000000000001" customHeight="1" thickTop="1" thickBot="1">
      <c r="B36" s="13" t="s">
        <v>51</v>
      </c>
      <c r="C36" s="13" t="s">
        <v>128</v>
      </c>
      <c r="G36" s="16" t="s">
        <v>31</v>
      </c>
      <c r="H36" s="51">
        <v>200</v>
      </c>
      <c r="I36" s="52"/>
      <c r="J36" s="53"/>
      <c r="K36" s="60"/>
      <c r="L36" s="77">
        <v>100</v>
      </c>
      <c r="M36" s="64"/>
      <c r="N36" s="52">
        <v>100</v>
      </c>
      <c r="O36" s="51" t="s">
        <v>329</v>
      </c>
      <c r="P36" s="53"/>
      <c r="Q36" s="53"/>
      <c r="R36" s="53"/>
      <c r="S36" s="52"/>
      <c r="T36" s="69"/>
      <c r="U36" s="70"/>
      <c r="V36" s="71"/>
      <c r="W36" s="47"/>
      <c r="X36" s="47"/>
      <c r="Y36" s="15"/>
      <c r="Z36" s="15"/>
    </row>
    <row r="37" spans="2:28" s="13" customFormat="1" ht="20.100000000000001" customHeight="1" thickTop="1" thickBot="1">
      <c r="C37" s="13" t="s">
        <v>128</v>
      </c>
      <c r="G37" s="16" t="s">
        <v>173</v>
      </c>
      <c r="H37" s="51"/>
      <c r="I37" s="52"/>
      <c r="J37" s="53"/>
      <c r="K37" s="60"/>
      <c r="L37" s="77"/>
      <c r="M37" s="65"/>
      <c r="N37" s="52"/>
      <c r="O37" s="51" t="s">
        <v>329</v>
      </c>
      <c r="P37" s="53"/>
      <c r="Q37" s="53"/>
      <c r="R37" s="53"/>
      <c r="S37" s="52"/>
      <c r="T37" s="69"/>
      <c r="U37" s="70"/>
      <c r="V37" s="71"/>
      <c r="W37" s="47"/>
      <c r="X37" s="47"/>
      <c r="Y37" s="15"/>
      <c r="Z37" s="15"/>
    </row>
    <row r="38" spans="2:28" s="13" customFormat="1" ht="20.100000000000001" customHeight="1" thickTop="1" thickBot="1">
      <c r="G38" s="16" t="s">
        <v>253</v>
      </c>
      <c r="H38" s="29">
        <v>100</v>
      </c>
      <c r="I38" s="57"/>
      <c r="J38" s="14"/>
      <c r="K38" s="16"/>
      <c r="L38" s="77">
        <v>100</v>
      </c>
      <c r="M38" s="64"/>
      <c r="N38" s="57">
        <v>100</v>
      </c>
      <c r="O38" s="29" t="s">
        <v>329</v>
      </c>
      <c r="P38" s="14"/>
      <c r="Q38" s="14"/>
      <c r="R38" s="14"/>
      <c r="S38" s="57"/>
      <c r="T38" s="69"/>
      <c r="U38" s="70"/>
      <c r="V38" s="71"/>
      <c r="W38" s="27"/>
      <c r="X38" s="27"/>
      <c r="Y38" s="15" t="s">
        <v>311</v>
      </c>
      <c r="Z38" s="15"/>
    </row>
    <row r="39" spans="2:28" s="13" customFormat="1" ht="20.100000000000001" customHeight="1" thickTop="1" thickBot="1">
      <c r="G39" s="16"/>
      <c r="H39" s="29"/>
      <c r="I39" s="57"/>
      <c r="J39" s="14"/>
      <c r="K39" s="16"/>
      <c r="L39" s="77"/>
      <c r="M39" s="64"/>
      <c r="N39" s="57"/>
      <c r="O39" s="29"/>
      <c r="P39" s="14"/>
      <c r="Q39" s="14"/>
      <c r="R39" s="14"/>
      <c r="S39" s="57"/>
      <c r="T39" s="69"/>
      <c r="U39" s="70"/>
      <c r="V39" s="71"/>
      <c r="W39" s="47"/>
      <c r="X39" s="47"/>
      <c r="Y39" s="15"/>
      <c r="Z39" s="15"/>
    </row>
    <row r="40" spans="2:28" ht="20.100000000000001" customHeight="1" thickTop="1" thickBot="1">
      <c r="B40" t="s">
        <v>51</v>
      </c>
      <c r="F40" s="13" t="s">
        <v>193</v>
      </c>
      <c r="G40" s="16"/>
      <c r="H40" s="29"/>
      <c r="I40" s="57"/>
      <c r="J40" s="14"/>
      <c r="K40" s="16"/>
      <c r="L40" s="77"/>
      <c r="M40" s="64"/>
      <c r="N40" s="57"/>
      <c r="O40" s="29"/>
      <c r="P40" s="14"/>
      <c r="Q40" s="14"/>
      <c r="R40" s="5"/>
      <c r="S40" s="21"/>
      <c r="T40" s="69"/>
      <c r="U40" s="70"/>
      <c r="V40" s="71"/>
      <c r="W40" s="27"/>
      <c r="X40" s="27"/>
      <c r="Z40" s="2"/>
      <c r="AA40"/>
      <c r="AB40"/>
    </row>
    <row r="41" spans="2:28" ht="20.100000000000001" customHeight="1" thickTop="1" thickBot="1">
      <c r="G41" s="16"/>
      <c r="H41" s="29"/>
      <c r="I41" s="57"/>
      <c r="J41" s="14"/>
      <c r="K41" s="14"/>
      <c r="L41" s="77"/>
      <c r="M41" s="29"/>
      <c r="N41" s="57"/>
      <c r="O41" s="29"/>
      <c r="P41" s="14"/>
      <c r="Q41" s="14"/>
      <c r="R41" s="5"/>
      <c r="S41" s="21"/>
      <c r="T41" s="69"/>
      <c r="U41" s="70"/>
      <c r="V41" s="71"/>
      <c r="W41" s="47"/>
      <c r="X41" s="47"/>
      <c r="Z41" s="2"/>
      <c r="AA41"/>
      <c r="AB41"/>
    </row>
    <row r="42" spans="2:28" s="13" customFormat="1" ht="20.100000000000001" customHeight="1" thickTop="1" thickBot="1">
      <c r="E42" s="116"/>
      <c r="G42" s="16" t="s">
        <v>178</v>
      </c>
      <c r="H42" s="51">
        <v>300</v>
      </c>
      <c r="I42" s="52"/>
      <c r="J42" s="53"/>
      <c r="K42" s="60"/>
      <c r="L42" s="77">
        <v>100</v>
      </c>
      <c r="M42" s="64">
        <v>100</v>
      </c>
      <c r="N42" s="52">
        <v>100</v>
      </c>
      <c r="O42" s="51"/>
      <c r="P42" s="53"/>
      <c r="Q42" s="53"/>
      <c r="R42" s="53"/>
      <c r="S42" s="52"/>
      <c r="T42" s="69"/>
      <c r="U42" s="70"/>
      <c r="V42" s="71"/>
      <c r="W42" s="47"/>
      <c r="X42" s="47"/>
      <c r="Y42" s="58"/>
      <c r="Z42" s="15"/>
    </row>
    <row r="43" spans="2:28" ht="20.100000000000001" customHeight="1" thickTop="1" thickBot="1">
      <c r="B43" t="s">
        <v>51</v>
      </c>
      <c r="G43" s="16" t="s">
        <v>138</v>
      </c>
      <c r="H43" s="29">
        <v>150</v>
      </c>
      <c r="I43" s="57"/>
      <c r="J43" s="14"/>
      <c r="K43" s="16"/>
      <c r="L43" s="77">
        <v>100</v>
      </c>
      <c r="M43" s="129"/>
      <c r="N43" s="57">
        <v>50</v>
      </c>
      <c r="O43" s="29"/>
      <c r="P43" s="14"/>
      <c r="Q43" s="14"/>
      <c r="R43" s="5"/>
      <c r="S43" s="21"/>
      <c r="T43" s="69"/>
      <c r="U43" s="70"/>
      <c r="V43" s="71"/>
      <c r="W43" s="27"/>
      <c r="X43" s="27"/>
      <c r="Z43" s="2"/>
      <c r="AA43"/>
      <c r="AB43"/>
    </row>
    <row r="44" spans="2:28" ht="20.100000000000001" customHeight="1" thickTop="1" thickBot="1">
      <c r="B44" t="s">
        <v>51</v>
      </c>
      <c r="G44" s="16" t="s">
        <v>36</v>
      </c>
      <c r="H44" s="29"/>
      <c r="I44" s="57">
        <v>300</v>
      </c>
      <c r="J44" s="14"/>
      <c r="K44" s="16"/>
      <c r="L44" s="77"/>
      <c r="M44" s="129"/>
      <c r="N44" s="57">
        <v>200</v>
      </c>
      <c r="O44" s="29"/>
      <c r="P44" s="14"/>
      <c r="Q44" s="14"/>
      <c r="R44" s="5"/>
      <c r="S44" s="21"/>
      <c r="T44" s="69"/>
      <c r="U44" s="70"/>
      <c r="V44" s="71"/>
      <c r="W44" s="27"/>
      <c r="X44" s="27"/>
      <c r="Z44" s="2"/>
      <c r="AA44"/>
      <c r="AB44"/>
    </row>
    <row r="45" spans="2:28" ht="19.5" customHeight="1" thickTop="1" thickBot="1">
      <c r="G45" s="16" t="s">
        <v>37</v>
      </c>
      <c r="H45" s="29">
        <v>100</v>
      </c>
      <c r="I45" s="57">
        <v>100</v>
      </c>
      <c r="J45" s="14"/>
      <c r="K45" s="16"/>
      <c r="L45" s="77">
        <v>100</v>
      </c>
      <c r="M45" s="64"/>
      <c r="N45" s="57">
        <v>100</v>
      </c>
      <c r="O45" s="29" t="s">
        <v>329</v>
      </c>
      <c r="P45" s="14"/>
      <c r="Q45" s="14"/>
      <c r="R45" s="5"/>
      <c r="S45" s="21"/>
      <c r="T45" s="69"/>
      <c r="U45" s="70"/>
      <c r="V45" s="71"/>
      <c r="W45" s="27"/>
      <c r="X45" s="27"/>
      <c r="Z45" s="2"/>
      <c r="AA45"/>
      <c r="AB45"/>
    </row>
    <row r="46" spans="2:28" s="13" customFormat="1" ht="20.100000000000001" customHeight="1" thickTop="1" thickBot="1">
      <c r="B46" s="13" t="s">
        <v>51</v>
      </c>
      <c r="G46" s="16" t="s">
        <v>47</v>
      </c>
      <c r="H46" s="51">
        <v>200</v>
      </c>
      <c r="I46" s="52"/>
      <c r="J46" s="53"/>
      <c r="K46" s="60"/>
      <c r="L46" s="77">
        <v>100</v>
      </c>
      <c r="M46" s="64"/>
      <c r="N46" s="52">
        <v>100</v>
      </c>
      <c r="O46" s="51" t="s">
        <v>329</v>
      </c>
      <c r="P46" s="53"/>
      <c r="Q46" s="53"/>
      <c r="R46" s="53"/>
      <c r="S46" s="52"/>
      <c r="T46" s="69"/>
      <c r="U46" s="70"/>
      <c r="V46" s="71"/>
      <c r="W46" s="47"/>
      <c r="X46" s="47"/>
      <c r="Y46" s="15"/>
      <c r="Z46" s="15"/>
    </row>
    <row r="47" spans="2:28" s="13" customFormat="1" ht="20.100000000000001" customHeight="1" thickTop="1" thickBot="1">
      <c r="G47" s="16" t="s">
        <v>41</v>
      </c>
      <c r="H47" s="51">
        <v>100</v>
      </c>
      <c r="I47" s="52">
        <v>100</v>
      </c>
      <c r="J47" s="53"/>
      <c r="K47" s="60"/>
      <c r="L47" s="77"/>
      <c r="M47" s="64"/>
      <c r="N47" s="52">
        <v>100</v>
      </c>
      <c r="O47" s="51" t="s">
        <v>329</v>
      </c>
      <c r="P47" s="53"/>
      <c r="Q47" s="53"/>
      <c r="R47" s="53"/>
      <c r="S47" s="52"/>
      <c r="T47" s="69"/>
      <c r="U47" s="70"/>
      <c r="V47" s="71"/>
      <c r="W47" s="47"/>
      <c r="X47" s="47"/>
      <c r="Y47" s="15"/>
      <c r="Z47" s="15"/>
    </row>
    <row r="48" spans="2:28" s="13" customFormat="1" ht="20.100000000000001" customHeight="1" thickTop="1" thickBot="1">
      <c r="G48" s="16" t="s">
        <v>325</v>
      </c>
      <c r="H48" s="29"/>
      <c r="I48" s="57">
        <v>100</v>
      </c>
      <c r="J48" s="14"/>
      <c r="K48" s="16"/>
      <c r="L48" s="77"/>
      <c r="M48" s="64"/>
      <c r="N48" s="57">
        <v>50</v>
      </c>
      <c r="O48" s="29"/>
      <c r="P48" s="14"/>
      <c r="Q48" s="14"/>
      <c r="R48" s="14"/>
      <c r="S48" s="57"/>
      <c r="T48" s="69"/>
      <c r="U48" s="70"/>
      <c r="V48" s="71"/>
      <c r="W48" s="47"/>
      <c r="X48" s="47"/>
      <c r="Y48" s="15"/>
      <c r="Z48" s="15"/>
    </row>
    <row r="49" spans="2:28" ht="19.5" customHeight="1" thickTop="1" thickBot="1">
      <c r="G49" s="16" t="s">
        <v>153</v>
      </c>
      <c r="H49" s="29">
        <v>100</v>
      </c>
      <c r="I49" s="57">
        <v>100</v>
      </c>
      <c r="J49" s="14"/>
      <c r="K49" s="16"/>
      <c r="L49" s="77"/>
      <c r="M49" s="64"/>
      <c r="N49" s="57">
        <v>100</v>
      </c>
      <c r="O49" s="50"/>
      <c r="P49" s="14"/>
      <c r="Q49" s="14"/>
      <c r="R49" s="5"/>
      <c r="S49" s="21"/>
      <c r="T49" s="69"/>
      <c r="U49" s="70"/>
      <c r="V49" s="71"/>
      <c r="W49" s="27"/>
      <c r="X49" s="27"/>
      <c r="Z49" s="2"/>
      <c r="AA49"/>
      <c r="AB49"/>
    </row>
    <row r="50" spans="2:28" s="13" customFormat="1" ht="20.100000000000001" customHeight="1" thickTop="1" thickBot="1">
      <c r="B50" s="13" t="s">
        <v>51</v>
      </c>
      <c r="G50" s="16" t="s">
        <v>73</v>
      </c>
      <c r="H50" s="51">
        <v>100</v>
      </c>
      <c r="I50" s="52"/>
      <c r="J50" s="53"/>
      <c r="K50" s="60"/>
      <c r="L50" s="77"/>
      <c r="M50" s="64">
        <v>50</v>
      </c>
      <c r="N50" s="52"/>
      <c r="O50" s="51"/>
      <c r="P50" s="53"/>
      <c r="Q50" s="53"/>
      <c r="R50" s="53"/>
      <c r="S50" s="52"/>
      <c r="T50" s="69"/>
      <c r="U50" s="70"/>
      <c r="V50" s="71"/>
      <c r="W50" s="47"/>
      <c r="X50" s="47"/>
      <c r="Y50" s="15"/>
      <c r="Z50" s="15"/>
    </row>
    <row r="51" spans="2:28" ht="19.5" customHeight="1" thickTop="1" thickBot="1">
      <c r="G51" s="16" t="s">
        <v>340</v>
      </c>
      <c r="H51" s="29"/>
      <c r="I51" s="57"/>
      <c r="J51" s="14"/>
      <c r="K51" s="16"/>
      <c r="L51" s="77"/>
      <c r="M51" s="64"/>
      <c r="N51" s="57"/>
      <c r="O51" s="50" t="s">
        <v>329</v>
      </c>
      <c r="P51" s="14"/>
      <c r="Q51" s="14"/>
      <c r="R51" s="5"/>
      <c r="S51" s="21"/>
      <c r="T51" s="69"/>
      <c r="U51" s="70"/>
      <c r="V51" s="71"/>
      <c r="W51" s="47"/>
      <c r="X51" s="47"/>
      <c r="Z51" s="2"/>
      <c r="AA51"/>
      <c r="AB51"/>
    </row>
    <row r="52" spans="2:28" ht="19.5" customHeight="1" thickTop="1" thickBot="1">
      <c r="G52" s="16"/>
      <c r="H52" s="29"/>
      <c r="I52" s="57"/>
      <c r="J52" s="14"/>
      <c r="K52" s="16"/>
      <c r="L52" s="77"/>
      <c r="M52" s="64"/>
      <c r="N52" s="57"/>
      <c r="O52" s="50"/>
      <c r="P52" s="14"/>
      <c r="Q52" s="14"/>
      <c r="R52" s="5"/>
      <c r="S52" s="21"/>
      <c r="T52" s="69"/>
      <c r="U52" s="70"/>
      <c r="V52" s="71"/>
      <c r="W52" s="47"/>
      <c r="X52" s="47"/>
      <c r="Z52" s="2"/>
      <c r="AA52"/>
      <c r="AB52"/>
    </row>
    <row r="53" spans="2:28" ht="19.5" customHeight="1" thickTop="1" thickBot="1">
      <c r="F53" t="s">
        <v>69</v>
      </c>
      <c r="G53" s="16" t="s">
        <v>230</v>
      </c>
      <c r="H53" s="29"/>
      <c r="I53" s="57"/>
      <c r="J53" s="14"/>
      <c r="K53" s="16"/>
      <c r="L53" s="77"/>
      <c r="M53" s="64"/>
      <c r="N53" s="57"/>
      <c r="O53" s="50"/>
      <c r="P53" s="14">
        <v>3</v>
      </c>
      <c r="Q53" s="14"/>
      <c r="R53" s="5"/>
      <c r="S53" s="21"/>
      <c r="T53" s="69"/>
      <c r="U53" s="70"/>
      <c r="V53" s="71"/>
      <c r="W53" s="47"/>
      <c r="X53" s="47"/>
      <c r="Z53" s="2"/>
      <c r="AA53"/>
      <c r="AB53"/>
    </row>
    <row r="54" spans="2:28" ht="19.5" customHeight="1" thickTop="1" thickBot="1">
      <c r="G54" s="16" t="s">
        <v>232</v>
      </c>
      <c r="H54" s="29"/>
      <c r="I54" s="57"/>
      <c r="J54" s="14"/>
      <c r="K54" s="16"/>
      <c r="L54" s="77"/>
      <c r="M54" s="64"/>
      <c r="N54" s="57"/>
      <c r="O54" s="50"/>
      <c r="P54" s="14">
        <v>3</v>
      </c>
      <c r="Q54" s="14"/>
      <c r="R54" s="5"/>
      <c r="S54" s="21"/>
      <c r="T54" s="69"/>
      <c r="U54" s="70"/>
      <c r="V54" s="71"/>
      <c r="W54" s="47"/>
      <c r="X54" s="47"/>
      <c r="Z54" s="2"/>
      <c r="AA54"/>
      <c r="AB54"/>
    </row>
    <row r="55" spans="2:28" ht="19.5" customHeight="1" thickTop="1" thickBot="1">
      <c r="G55" s="16" t="s">
        <v>234</v>
      </c>
      <c r="H55" s="29"/>
      <c r="I55" s="57"/>
      <c r="J55" s="14"/>
      <c r="K55" s="16"/>
      <c r="L55" s="77"/>
      <c r="M55" s="57"/>
      <c r="N55" s="57"/>
      <c r="O55" s="50"/>
      <c r="P55" s="14">
        <v>3</v>
      </c>
      <c r="Q55" s="14"/>
      <c r="R55" s="5"/>
      <c r="S55" s="21"/>
      <c r="T55" s="69"/>
      <c r="U55" s="70"/>
      <c r="V55" s="71"/>
      <c r="W55" s="47"/>
      <c r="X55" s="47"/>
      <c r="Z55" s="2"/>
      <c r="AA55"/>
      <c r="AB55"/>
    </row>
    <row r="56" spans="2:28" ht="19.5" customHeight="1" thickTop="1" thickBot="1">
      <c r="G56" s="16" t="s">
        <v>236</v>
      </c>
      <c r="H56" s="29"/>
      <c r="I56" s="57"/>
      <c r="J56" s="14"/>
      <c r="K56" s="16"/>
      <c r="L56" s="77"/>
      <c r="M56" s="57"/>
      <c r="N56" s="57"/>
      <c r="O56" s="50"/>
      <c r="P56" s="14">
        <v>3</v>
      </c>
      <c r="Q56" s="14"/>
      <c r="R56" s="5"/>
      <c r="S56" s="21"/>
      <c r="T56" s="69"/>
      <c r="U56" s="70"/>
      <c r="V56" s="71"/>
      <c r="W56" s="47"/>
      <c r="X56" s="47"/>
      <c r="Z56" s="2"/>
      <c r="AA56"/>
      <c r="AB56"/>
    </row>
    <row r="57" spans="2:28" ht="19.5" customHeight="1" thickTop="1" thickBot="1">
      <c r="G57" s="117" t="s">
        <v>238</v>
      </c>
      <c r="H57" s="29"/>
      <c r="I57" s="57">
        <v>50</v>
      </c>
      <c r="J57" s="14"/>
      <c r="K57" s="16"/>
      <c r="L57" s="77"/>
      <c r="M57" s="57"/>
      <c r="N57" s="57">
        <v>50</v>
      </c>
      <c r="O57" s="50"/>
      <c r="P57" s="14">
        <v>4</v>
      </c>
      <c r="Q57" s="14"/>
      <c r="R57" s="5"/>
      <c r="S57" s="21"/>
      <c r="T57" s="69"/>
      <c r="U57" s="70"/>
      <c r="V57" s="71"/>
      <c r="W57" s="47"/>
      <c r="X57" s="47"/>
      <c r="Z57" s="2"/>
      <c r="AA57"/>
      <c r="AB57"/>
    </row>
    <row r="58" spans="2:28" ht="19.5" customHeight="1" thickTop="1" thickBot="1">
      <c r="G58" s="117" t="s">
        <v>240</v>
      </c>
      <c r="H58" s="29"/>
      <c r="I58" s="57">
        <v>50</v>
      </c>
      <c r="J58" s="14"/>
      <c r="K58" s="16"/>
      <c r="L58" s="77"/>
      <c r="M58" s="64"/>
      <c r="N58" s="64">
        <v>50</v>
      </c>
      <c r="O58" s="50"/>
      <c r="P58" s="14">
        <v>4</v>
      </c>
      <c r="Q58" s="14"/>
      <c r="R58" s="5"/>
      <c r="S58" s="21"/>
      <c r="T58" s="69"/>
      <c r="U58" s="70"/>
      <c r="V58" s="71"/>
      <c r="W58" s="47"/>
      <c r="X58" s="47"/>
      <c r="Z58" s="2"/>
      <c r="AA58"/>
      <c r="AB58"/>
    </row>
    <row r="59" spans="2:28" ht="19.5" customHeight="1" thickTop="1" thickBot="1">
      <c r="G59" s="117" t="s">
        <v>242</v>
      </c>
      <c r="H59" s="29"/>
      <c r="I59" s="57">
        <v>50</v>
      </c>
      <c r="J59" s="14"/>
      <c r="K59" s="16"/>
      <c r="L59" s="77"/>
      <c r="M59" s="64"/>
      <c r="N59" s="64">
        <v>50</v>
      </c>
      <c r="O59" s="50"/>
      <c r="P59" s="14">
        <v>4</v>
      </c>
      <c r="Q59" s="14"/>
      <c r="R59" s="5"/>
      <c r="S59" s="21"/>
      <c r="T59" s="69"/>
      <c r="U59" s="70"/>
      <c r="V59" s="71"/>
      <c r="W59" s="47"/>
      <c r="X59" s="47"/>
      <c r="Z59" s="2"/>
      <c r="AA59"/>
      <c r="AB59"/>
    </row>
    <row r="60" spans="2:28" ht="19.5" customHeight="1" thickTop="1" thickBot="1">
      <c r="G60" s="117" t="s">
        <v>244</v>
      </c>
      <c r="H60" s="29"/>
      <c r="I60" s="57">
        <v>50</v>
      </c>
      <c r="J60" s="14"/>
      <c r="K60" s="16"/>
      <c r="L60" s="77"/>
      <c r="M60" s="64"/>
      <c r="N60" s="64">
        <v>50</v>
      </c>
      <c r="O60" s="50"/>
      <c r="P60" s="14">
        <v>4</v>
      </c>
      <c r="Q60" s="14"/>
      <c r="R60" s="5"/>
      <c r="S60" s="21"/>
      <c r="T60" s="69"/>
      <c r="U60" s="70"/>
      <c r="V60" s="71"/>
      <c r="W60" s="47"/>
      <c r="X60" s="47"/>
      <c r="Z60" s="2"/>
      <c r="AA60"/>
      <c r="AB60"/>
    </row>
    <row r="61" spans="2:28" ht="19.5" customHeight="1" thickTop="1" thickBot="1">
      <c r="G61" s="117" t="s">
        <v>246</v>
      </c>
      <c r="H61" s="29"/>
      <c r="I61" s="57"/>
      <c r="J61" s="14"/>
      <c r="K61" s="16"/>
      <c r="L61" s="77"/>
      <c r="M61" s="64"/>
      <c r="N61" s="57"/>
      <c r="O61" s="50"/>
      <c r="P61" s="14">
        <v>3</v>
      </c>
      <c r="Q61" s="14"/>
      <c r="R61" s="5"/>
      <c r="S61" s="21"/>
      <c r="T61" s="69"/>
      <c r="U61" s="70"/>
      <c r="V61" s="71"/>
      <c r="W61" s="47"/>
      <c r="X61" s="47"/>
      <c r="Z61" s="2"/>
      <c r="AA61"/>
      <c r="AB61"/>
    </row>
    <row r="62" spans="2:28" ht="19.5" customHeight="1" thickTop="1" thickBot="1">
      <c r="G62" s="117" t="s">
        <v>248</v>
      </c>
      <c r="H62" s="29"/>
      <c r="I62" s="29">
        <v>50</v>
      </c>
      <c r="J62" s="14"/>
      <c r="K62" s="16"/>
      <c r="L62" s="77"/>
      <c r="M62" s="57"/>
      <c r="N62" s="57">
        <v>50</v>
      </c>
      <c r="O62" s="50"/>
      <c r="P62" s="14">
        <v>3</v>
      </c>
      <c r="Q62" s="14"/>
      <c r="R62" s="5"/>
      <c r="S62" s="21"/>
      <c r="T62" s="69"/>
      <c r="U62" s="70"/>
      <c r="V62" s="71"/>
      <c r="W62" s="47"/>
      <c r="X62" s="47"/>
      <c r="Z62" s="2"/>
      <c r="AA62"/>
      <c r="AB62"/>
    </row>
    <row r="63" spans="2:28" ht="19.5" customHeight="1" thickTop="1" thickBot="1">
      <c r="G63" s="117" t="s">
        <v>250</v>
      </c>
      <c r="H63" s="29"/>
      <c r="I63" s="29">
        <v>50</v>
      </c>
      <c r="J63" s="14"/>
      <c r="K63" s="16"/>
      <c r="L63" s="77"/>
      <c r="M63" s="57"/>
      <c r="N63" s="57">
        <v>50</v>
      </c>
      <c r="O63" s="50"/>
      <c r="P63" s="14">
        <v>4</v>
      </c>
      <c r="Q63" s="14"/>
      <c r="R63" s="5"/>
      <c r="S63" s="21"/>
      <c r="T63" s="69"/>
      <c r="U63" s="70"/>
      <c r="V63" s="71"/>
      <c r="W63" s="47"/>
      <c r="X63" s="47"/>
      <c r="Z63" s="2"/>
      <c r="AA63"/>
      <c r="AB63"/>
    </row>
    <row r="64" spans="2:28" ht="19.5" customHeight="1" thickTop="1" thickBot="1">
      <c r="G64" s="117" t="s">
        <v>252</v>
      </c>
      <c r="H64" s="29"/>
      <c r="I64" s="29">
        <v>50</v>
      </c>
      <c r="J64" s="14"/>
      <c r="K64" s="16"/>
      <c r="L64" s="77"/>
      <c r="M64" s="57"/>
      <c r="N64" s="57">
        <v>50</v>
      </c>
      <c r="O64" s="50"/>
      <c r="P64" s="14">
        <v>3</v>
      </c>
      <c r="Q64" s="14"/>
      <c r="R64" s="5"/>
      <c r="S64" s="21"/>
      <c r="T64" s="69"/>
      <c r="U64" s="70"/>
      <c r="V64" s="71"/>
      <c r="W64" s="47"/>
      <c r="X64" s="47"/>
      <c r="Z64" s="2"/>
      <c r="AA64"/>
      <c r="AB64"/>
    </row>
    <row r="65" spans="6:28" ht="18" customHeight="1" thickTop="1" thickBot="1">
      <c r="G65" s="16"/>
      <c r="H65" s="29"/>
      <c r="I65" s="57"/>
      <c r="J65" s="14"/>
      <c r="K65" s="16"/>
      <c r="L65" s="77"/>
      <c r="M65" s="64"/>
      <c r="N65" s="57"/>
      <c r="O65" s="50"/>
      <c r="P65" s="14"/>
      <c r="Q65" s="14"/>
      <c r="R65" s="5"/>
      <c r="S65" s="21"/>
      <c r="T65" s="69"/>
      <c r="U65" s="70"/>
      <c r="V65" s="71"/>
      <c r="W65" s="47"/>
      <c r="X65" s="47"/>
      <c r="Z65" s="2"/>
      <c r="AA65"/>
      <c r="AB65"/>
    </row>
    <row r="66" spans="6:28" ht="18" customHeight="1" thickTop="1" thickBot="1">
      <c r="F66" s="13" t="s">
        <v>191</v>
      </c>
      <c r="G66" s="16" t="s">
        <v>330</v>
      </c>
      <c r="H66" s="29">
        <v>200</v>
      </c>
      <c r="I66" s="57"/>
      <c r="J66" s="14"/>
      <c r="K66" s="16"/>
      <c r="L66" s="77"/>
      <c r="M66" s="64"/>
      <c r="N66" s="57"/>
      <c r="O66" s="50"/>
      <c r="P66" s="53">
        <v>5</v>
      </c>
      <c r="Q66" s="53"/>
      <c r="R66" s="5"/>
      <c r="S66" s="21"/>
      <c r="T66" s="69"/>
      <c r="U66" s="70"/>
      <c r="V66" s="71"/>
      <c r="W66" s="47"/>
      <c r="X66" s="47"/>
      <c r="Z66" s="2"/>
      <c r="AA66"/>
      <c r="AB66"/>
    </row>
    <row r="67" spans="6:28" ht="18" customHeight="1" thickTop="1" thickBot="1">
      <c r="F67" s="13"/>
      <c r="G67" s="16" t="s">
        <v>331</v>
      </c>
      <c r="H67" s="29">
        <v>100</v>
      </c>
      <c r="I67" s="57"/>
      <c r="J67" s="14"/>
      <c r="K67" s="16"/>
      <c r="L67" s="77"/>
      <c r="M67" s="64"/>
      <c r="N67" s="57"/>
      <c r="O67" s="50"/>
      <c r="P67" s="53">
        <v>5</v>
      </c>
      <c r="Q67" s="53"/>
      <c r="R67" s="5"/>
      <c r="S67" s="21"/>
      <c r="T67" s="69"/>
      <c r="U67" s="70"/>
      <c r="V67" s="71"/>
      <c r="W67" s="47"/>
      <c r="X67" s="47"/>
      <c r="Z67" s="2"/>
      <c r="AA67"/>
      <c r="AB67"/>
    </row>
    <row r="68" spans="6:28" ht="18" customHeight="1" thickTop="1" thickBot="1">
      <c r="F68" s="13"/>
      <c r="G68" s="16" t="s">
        <v>332</v>
      </c>
      <c r="H68" s="29">
        <v>200</v>
      </c>
      <c r="I68" s="57"/>
      <c r="J68" s="14"/>
      <c r="K68" s="16"/>
      <c r="L68" s="77"/>
      <c r="M68" s="64"/>
      <c r="N68" s="57">
        <v>50</v>
      </c>
      <c r="O68" s="50"/>
      <c r="P68" s="53">
        <v>5</v>
      </c>
      <c r="Q68" s="53"/>
      <c r="R68" s="5"/>
      <c r="S68" s="21"/>
      <c r="T68" s="69"/>
      <c r="U68" s="70"/>
      <c r="V68" s="71"/>
      <c r="W68" s="47"/>
      <c r="X68" s="47"/>
      <c r="Z68" s="2"/>
      <c r="AA68"/>
      <c r="AB68"/>
    </row>
    <row r="69" spans="6:28" ht="18" customHeight="1" thickTop="1" thickBot="1">
      <c r="F69" s="13"/>
      <c r="G69" s="16" t="s">
        <v>333</v>
      </c>
      <c r="H69" s="29">
        <v>200</v>
      </c>
      <c r="I69" s="57"/>
      <c r="J69" s="14"/>
      <c r="K69" s="16"/>
      <c r="L69" s="77"/>
      <c r="M69" s="64"/>
      <c r="N69" s="57"/>
      <c r="O69" s="50"/>
      <c r="P69" s="53">
        <v>5</v>
      </c>
      <c r="Q69" s="53"/>
      <c r="R69" s="5"/>
      <c r="S69" s="21"/>
      <c r="T69" s="69"/>
      <c r="U69" s="70"/>
      <c r="V69" s="71"/>
      <c r="W69" s="47"/>
      <c r="X69" s="47"/>
      <c r="Z69" s="2"/>
      <c r="AA69"/>
      <c r="AB69"/>
    </row>
    <row r="70" spans="6:28" ht="18" customHeight="1" thickTop="1" thickBot="1">
      <c r="F70" s="13"/>
      <c r="G70" s="16" t="s">
        <v>334</v>
      </c>
      <c r="H70" s="29">
        <v>200</v>
      </c>
      <c r="I70" s="57"/>
      <c r="J70" s="14"/>
      <c r="K70" s="16"/>
      <c r="L70" s="77"/>
      <c r="M70" s="64"/>
      <c r="N70" s="57">
        <v>100</v>
      </c>
      <c r="O70" s="50"/>
      <c r="P70" s="14">
        <v>5</v>
      </c>
      <c r="Q70" s="14">
        <v>5</v>
      </c>
      <c r="R70" s="5"/>
      <c r="S70" s="21"/>
      <c r="T70" s="69"/>
      <c r="U70" s="70"/>
      <c r="V70" s="71"/>
      <c r="W70" s="47"/>
      <c r="X70" s="47"/>
      <c r="Z70" s="2"/>
      <c r="AA70"/>
      <c r="AB70"/>
    </row>
    <row r="71" spans="6:28" ht="18" customHeight="1" thickTop="1" thickBot="1">
      <c r="G71" s="16" t="s">
        <v>335</v>
      </c>
      <c r="H71" s="29">
        <v>200</v>
      </c>
      <c r="I71" s="57"/>
      <c r="J71" s="14"/>
      <c r="K71" s="16"/>
      <c r="L71" s="77"/>
      <c r="M71" s="64"/>
      <c r="N71" s="57">
        <v>100</v>
      </c>
      <c r="O71" s="50"/>
      <c r="P71" s="14">
        <v>5</v>
      </c>
      <c r="Q71" s="14">
        <v>5</v>
      </c>
      <c r="R71" s="5"/>
      <c r="S71" s="21"/>
      <c r="T71" s="69"/>
      <c r="U71" s="70"/>
      <c r="V71" s="71"/>
      <c r="W71" s="47"/>
      <c r="X71" s="47"/>
      <c r="Z71" s="2"/>
      <c r="AA71"/>
      <c r="AB71"/>
    </row>
    <row r="72" spans="6:28" ht="19.5" customHeight="1" thickTop="1" thickBot="1">
      <c r="G72" s="16" t="s">
        <v>336</v>
      </c>
      <c r="H72" s="29">
        <v>200</v>
      </c>
      <c r="I72" s="57"/>
      <c r="J72" s="14"/>
      <c r="K72" s="16"/>
      <c r="L72" s="77"/>
      <c r="M72" s="64"/>
      <c r="N72" s="57">
        <v>100</v>
      </c>
      <c r="O72" s="50"/>
      <c r="P72" s="14">
        <v>5</v>
      </c>
      <c r="Q72" s="14"/>
      <c r="R72" s="5">
        <v>5</v>
      </c>
      <c r="S72" s="21"/>
      <c r="T72" s="69"/>
      <c r="U72" s="70"/>
      <c r="V72" s="71"/>
      <c r="W72" s="47"/>
      <c r="X72" s="47"/>
      <c r="Z72" s="2"/>
      <c r="AA72"/>
      <c r="AB72"/>
    </row>
    <row r="73" spans="6:28" ht="18" customHeight="1" thickTop="1" thickBot="1">
      <c r="G73" s="16" t="s">
        <v>337</v>
      </c>
      <c r="H73" s="29">
        <v>200</v>
      </c>
      <c r="I73" s="57"/>
      <c r="J73" s="14"/>
      <c r="K73" s="16"/>
      <c r="L73" s="77"/>
      <c r="M73" s="64"/>
      <c r="N73" s="57">
        <v>50</v>
      </c>
      <c r="O73" s="50"/>
      <c r="P73" s="14">
        <v>5</v>
      </c>
      <c r="Q73" s="14"/>
      <c r="R73" s="5">
        <v>5</v>
      </c>
      <c r="S73" s="21"/>
      <c r="T73" s="69"/>
      <c r="U73" s="70"/>
      <c r="V73" s="71"/>
      <c r="W73" s="47"/>
      <c r="X73" s="47"/>
      <c r="Z73" s="2"/>
      <c r="AA73"/>
      <c r="AB73"/>
    </row>
    <row r="74" spans="6:28" ht="19.5" customHeight="1" thickTop="1" thickBot="1">
      <c r="G74" s="16" t="s">
        <v>338</v>
      </c>
      <c r="H74" s="29">
        <v>200</v>
      </c>
      <c r="I74" s="57"/>
      <c r="J74" s="14"/>
      <c r="K74" s="16"/>
      <c r="L74" s="77"/>
      <c r="M74" s="64"/>
      <c r="N74" s="57">
        <v>100</v>
      </c>
      <c r="O74" s="50"/>
      <c r="P74" s="14">
        <v>5</v>
      </c>
      <c r="Q74" s="14">
        <v>5</v>
      </c>
      <c r="R74" s="5"/>
      <c r="S74" s="21"/>
      <c r="T74" s="69"/>
      <c r="U74" s="70"/>
      <c r="V74" s="71"/>
      <c r="W74" s="47"/>
      <c r="X74" s="47"/>
      <c r="Z74" s="2"/>
      <c r="AA74"/>
      <c r="AB74"/>
    </row>
    <row r="75" spans="6:28" ht="19.5" customHeight="1" thickTop="1" thickBot="1">
      <c r="G75" s="16"/>
      <c r="H75" s="29"/>
      <c r="I75" s="57"/>
      <c r="J75" s="14"/>
      <c r="K75" s="16"/>
      <c r="L75" s="77"/>
      <c r="M75" s="64"/>
      <c r="N75" s="57"/>
      <c r="O75" s="29"/>
      <c r="P75" s="14"/>
      <c r="Q75" s="14"/>
      <c r="R75" s="5"/>
      <c r="S75" s="21"/>
      <c r="T75" s="69"/>
      <c r="U75" s="70"/>
      <c r="V75" s="71"/>
      <c r="W75" s="47"/>
      <c r="X75" s="47"/>
      <c r="Z75" s="2"/>
      <c r="AA75"/>
      <c r="AB75"/>
    </row>
    <row r="76" spans="6:28" ht="19.5" customHeight="1" thickTop="1" thickBot="1">
      <c r="G76" s="16"/>
      <c r="H76" s="29"/>
      <c r="I76" s="57"/>
      <c r="J76" s="14"/>
      <c r="K76" s="16"/>
      <c r="L76" s="77"/>
      <c r="M76" s="64"/>
      <c r="N76" s="57"/>
      <c r="O76" s="50"/>
      <c r="P76" s="14"/>
      <c r="Q76" s="14"/>
      <c r="R76" s="5"/>
      <c r="S76" s="21"/>
      <c r="T76" s="69"/>
      <c r="U76" s="70"/>
      <c r="V76" s="71"/>
      <c r="W76" s="47"/>
      <c r="X76" s="47"/>
      <c r="Z76" s="2"/>
      <c r="AA76"/>
      <c r="AB76"/>
    </row>
    <row r="77" spans="6:28" s="13" customFormat="1" ht="20.100000000000001" customHeight="1" thickTop="1" thickBot="1">
      <c r="G77" s="16"/>
      <c r="H77" s="51"/>
      <c r="I77" s="52"/>
      <c r="J77" s="53"/>
      <c r="K77" s="60"/>
      <c r="L77" s="77"/>
      <c r="M77" s="64"/>
      <c r="N77" s="52"/>
      <c r="O77" s="51"/>
      <c r="P77" s="53"/>
      <c r="Q77" s="53"/>
      <c r="R77" s="53"/>
      <c r="S77" s="52"/>
      <c r="T77" s="69"/>
      <c r="U77" s="70"/>
      <c r="V77" s="71"/>
      <c r="W77" s="47"/>
      <c r="X77" s="47"/>
      <c r="Y77" s="15"/>
      <c r="Z77" s="15"/>
    </row>
    <row r="78" spans="6:28" s="13" customFormat="1" ht="20.100000000000001" customHeight="1" thickTop="1" thickBot="1">
      <c r="G78" s="16"/>
      <c r="H78" s="51"/>
      <c r="I78" s="52"/>
      <c r="J78" s="53"/>
      <c r="K78" s="60"/>
      <c r="L78" s="77"/>
      <c r="M78" s="64"/>
      <c r="N78" s="52"/>
      <c r="O78" s="51"/>
      <c r="P78" s="53"/>
      <c r="Q78" s="53"/>
      <c r="R78" s="53"/>
      <c r="S78" s="52"/>
      <c r="T78" s="69"/>
      <c r="U78" s="70"/>
      <c r="V78" s="71"/>
      <c r="W78" s="47"/>
      <c r="X78" s="47"/>
      <c r="Y78" s="15"/>
      <c r="Z78" s="15"/>
    </row>
    <row r="79" spans="6:28" s="13" customFormat="1" ht="20.100000000000001" customHeight="1" thickTop="1" thickBot="1">
      <c r="G79" s="16"/>
      <c r="H79" s="51">
        <f t="shared" ref="H79:N79" si="0">SUM(H32:H77)</f>
        <v>4100</v>
      </c>
      <c r="I79" s="51">
        <f t="shared" si="0"/>
        <v>1050</v>
      </c>
      <c r="J79" s="51">
        <f t="shared" si="0"/>
        <v>0</v>
      </c>
      <c r="K79" s="51">
        <f t="shared" si="0"/>
        <v>0</v>
      </c>
      <c r="L79" s="51">
        <f t="shared" si="0"/>
        <v>1000</v>
      </c>
      <c r="M79" s="51">
        <f t="shared" si="0"/>
        <v>150</v>
      </c>
      <c r="N79" s="51">
        <f t="shared" si="0"/>
        <v>2250</v>
      </c>
      <c r="O79" s="51">
        <f>SUM(O31:O78)</f>
        <v>0</v>
      </c>
      <c r="P79" s="53"/>
      <c r="Q79" s="53"/>
      <c r="R79" s="53"/>
      <c r="S79" s="52"/>
      <c r="T79" s="69"/>
      <c r="U79" s="70"/>
      <c r="V79" s="71"/>
      <c r="W79" s="47"/>
      <c r="X79" s="47"/>
      <c r="Y79" s="15"/>
      <c r="Z79" s="15"/>
    </row>
    <row r="80" spans="6:28" ht="19.5" customHeight="1" thickTop="1" thickBot="1">
      <c r="G80" s="16"/>
      <c r="H80" s="20"/>
      <c r="I80" s="21"/>
      <c r="J80" s="5"/>
      <c r="K80" s="61"/>
      <c r="L80" s="77"/>
      <c r="M80" s="65"/>
      <c r="N80" s="21"/>
      <c r="O80" s="50"/>
      <c r="P80" s="14"/>
      <c r="Q80" s="14"/>
      <c r="R80" s="5"/>
      <c r="S80" s="21"/>
      <c r="T80" s="69"/>
      <c r="U80" s="70"/>
      <c r="V80" s="71"/>
      <c r="W80" s="27"/>
      <c r="X80" s="27"/>
      <c r="Z80" s="2"/>
      <c r="AA80"/>
      <c r="AB80"/>
    </row>
    <row r="81" spans="1:26" s="13" customFormat="1" ht="20.100000000000001" customHeight="1" thickTop="1" thickBot="1">
      <c r="G81" s="16"/>
      <c r="H81" s="51"/>
      <c r="I81" s="52"/>
      <c r="J81" s="53"/>
      <c r="K81" s="60"/>
      <c r="L81" s="77"/>
      <c r="M81" s="64"/>
      <c r="N81" s="52"/>
      <c r="O81" s="51"/>
      <c r="P81" s="53"/>
      <c r="Q81" s="53"/>
      <c r="R81" s="53"/>
      <c r="S81" s="52"/>
      <c r="T81" s="69"/>
      <c r="U81" s="70"/>
      <c r="V81" s="71"/>
      <c r="W81" s="47"/>
      <c r="X81" s="47"/>
      <c r="Y81" s="15"/>
      <c r="Z81" s="15"/>
    </row>
    <row r="82" spans="1:26" s="2" customFormat="1" ht="17.25" thickTop="1">
      <c r="A82"/>
      <c r="B82"/>
      <c r="C82"/>
      <c r="D82"/>
      <c r="E82"/>
      <c r="F82"/>
      <c r="P82" s="15"/>
      <c r="Q82" s="15"/>
      <c r="Z82" s="15"/>
    </row>
    <row r="84" spans="1:26" s="2" customFormat="1">
      <c r="A84"/>
      <c r="B84"/>
      <c r="C84"/>
      <c r="D84"/>
      <c r="E84"/>
      <c r="F84"/>
      <c r="P84" s="15"/>
      <c r="Q84" s="15"/>
      <c r="Z84" s="15"/>
    </row>
    <row r="85" spans="1:26" s="2" customFormat="1">
      <c r="A85"/>
      <c r="B85"/>
      <c r="C85"/>
      <c r="D85"/>
      <c r="E85"/>
      <c r="F85"/>
      <c r="P85" s="15"/>
      <c r="Q85" s="15"/>
      <c r="Z85" s="15"/>
    </row>
    <row r="86" spans="1:26" s="2" customFormat="1">
      <c r="A86"/>
      <c r="B86"/>
      <c r="C86"/>
      <c r="D86"/>
      <c r="E86"/>
      <c r="F86"/>
      <c r="P86" s="15"/>
      <c r="Q86" s="15"/>
      <c r="Z86" s="15"/>
    </row>
    <row r="87" spans="1:26" s="2" customFormat="1">
      <c r="A87"/>
      <c r="B87"/>
      <c r="C87"/>
      <c r="D87"/>
      <c r="E87"/>
      <c r="F87"/>
      <c r="P87" s="15"/>
      <c r="Q87" s="15"/>
      <c r="Z87" s="15"/>
    </row>
    <row r="88" spans="1:26" s="2" customFormat="1">
      <c r="A88"/>
      <c r="B88"/>
      <c r="C88"/>
      <c r="D88"/>
      <c r="E88"/>
      <c r="F88"/>
      <c r="P88" s="15"/>
      <c r="Q88" s="15"/>
      <c r="Z88" s="15"/>
    </row>
    <row r="89" spans="1:26" s="2" customFormat="1">
      <c r="A89"/>
      <c r="B89"/>
      <c r="C89"/>
      <c r="D89"/>
      <c r="E89"/>
      <c r="F89"/>
      <c r="P89" s="15"/>
      <c r="Q89" s="15"/>
      <c r="Z89" s="15"/>
    </row>
    <row r="90" spans="1:26" s="2" customFormat="1">
      <c r="A90"/>
      <c r="B90"/>
      <c r="C90"/>
      <c r="D90"/>
      <c r="E90"/>
      <c r="F90"/>
      <c r="P90" s="15"/>
      <c r="Q90" s="15"/>
      <c r="Z90" s="15"/>
    </row>
    <row r="91" spans="1:26" s="2" customFormat="1">
      <c r="A91"/>
      <c r="B91"/>
      <c r="C91"/>
      <c r="D91"/>
      <c r="E91"/>
      <c r="F91"/>
      <c r="P91" s="15"/>
      <c r="Q91" s="15"/>
      <c r="Z91" s="15"/>
    </row>
    <row r="92" spans="1:26" s="2" customFormat="1">
      <c r="A92"/>
      <c r="B92"/>
      <c r="C92"/>
      <c r="D92"/>
      <c r="E92"/>
      <c r="F92"/>
      <c r="P92" s="15"/>
      <c r="Q92" s="15"/>
      <c r="Z92" s="15"/>
    </row>
    <row r="93" spans="1:26" s="2" customFormat="1">
      <c r="A93"/>
      <c r="B93"/>
      <c r="C93"/>
      <c r="D93"/>
      <c r="E93"/>
      <c r="F93"/>
      <c r="P93" s="15"/>
      <c r="Q93" s="15"/>
      <c r="Z93" s="15"/>
    </row>
    <row r="94" spans="1:26" s="2" customFormat="1">
      <c r="A94"/>
      <c r="B94"/>
      <c r="C94"/>
      <c r="D94"/>
      <c r="E94"/>
      <c r="F94"/>
      <c r="G94" s="15" t="s">
        <v>125</v>
      </c>
      <c r="J94" s="2">
        <f>Y94/1.1</f>
        <v>58799.999999999993</v>
      </c>
      <c r="K94" s="40"/>
      <c r="L94" s="15"/>
      <c r="P94" s="15"/>
      <c r="Q94" s="15"/>
      <c r="Y94" s="15">
        <v>64680</v>
      </c>
      <c r="Z94" s="15"/>
    </row>
    <row r="95" spans="1:26" s="2" customFormat="1">
      <c r="A95"/>
      <c r="B95"/>
      <c r="C95"/>
      <c r="D95"/>
      <c r="E95"/>
      <c r="F95"/>
      <c r="G95" s="15" t="s">
        <v>49</v>
      </c>
      <c r="K95" s="40"/>
      <c r="L95" s="15"/>
      <c r="P95" s="15"/>
      <c r="Q95" s="15"/>
      <c r="R95" s="15" t="s">
        <v>174</v>
      </c>
      <c r="Y95" s="15"/>
      <c r="Z95" s="15"/>
    </row>
    <row r="97" spans="1:26" s="2" customFormat="1">
      <c r="A97"/>
      <c r="B97"/>
      <c r="C97"/>
      <c r="D97"/>
      <c r="E97"/>
      <c r="F97"/>
      <c r="G97" s="15"/>
      <c r="L97" s="15"/>
      <c r="P97" s="15"/>
      <c r="Q97" s="15"/>
      <c r="Y97" s="15"/>
      <c r="Z97" s="15"/>
    </row>
    <row r="98" spans="1:26" s="2" customFormat="1">
      <c r="A98"/>
      <c r="B98"/>
      <c r="C98"/>
      <c r="D98"/>
      <c r="E98"/>
      <c r="F98"/>
      <c r="G98" s="15" t="s">
        <v>134</v>
      </c>
      <c r="L98" s="15"/>
      <c r="P98" s="15"/>
      <c r="Q98" s="15"/>
      <c r="Y98" s="15"/>
      <c r="Z98" s="15"/>
    </row>
    <row r="99" spans="1:26" s="2" customFormat="1">
      <c r="A99"/>
      <c r="B99"/>
      <c r="C99"/>
      <c r="D99"/>
      <c r="E99"/>
      <c r="F99"/>
      <c r="G99" s="15" t="s">
        <v>135</v>
      </c>
      <c r="L99" s="15"/>
      <c r="P99" s="15"/>
      <c r="Q99" s="15"/>
      <c r="Y99" s="15"/>
      <c r="Z99" s="15"/>
    </row>
    <row r="100" spans="1:26" s="2" customFormat="1">
      <c r="A100"/>
      <c r="B100"/>
      <c r="C100"/>
      <c r="D100"/>
      <c r="E100"/>
      <c r="F100"/>
      <c r="G100" s="15"/>
      <c r="J100" s="40"/>
      <c r="L100" s="15"/>
      <c r="P100" s="15"/>
      <c r="Q100" s="15"/>
      <c r="Y100" s="15"/>
      <c r="Z100" s="15"/>
    </row>
    <row r="101" spans="1:26" s="2" customFormat="1">
      <c r="A101"/>
      <c r="B101"/>
      <c r="C101"/>
      <c r="D101"/>
      <c r="E101"/>
      <c r="F101"/>
      <c r="G101" s="15" t="s">
        <v>69</v>
      </c>
      <c r="L101" s="15"/>
      <c r="P101" s="15"/>
      <c r="Q101" s="15"/>
      <c r="Y101" s="15"/>
      <c r="Z101" s="15"/>
    </row>
    <row r="102" spans="1:26" s="2" customFormat="1">
      <c r="A102"/>
      <c r="B102"/>
      <c r="C102"/>
      <c r="D102"/>
      <c r="E102"/>
      <c r="F102"/>
      <c r="G102" s="15"/>
      <c r="J102" s="41"/>
      <c r="L102" s="15"/>
      <c r="P102" s="15"/>
      <c r="Q102" s="15"/>
      <c r="Y102" s="15"/>
      <c r="Z102" s="15"/>
    </row>
    <row r="103" spans="1:26" s="2" customFormat="1">
      <c r="A103"/>
      <c r="B103"/>
      <c r="C103"/>
      <c r="D103"/>
      <c r="E103"/>
      <c r="F103"/>
      <c r="G103" s="15"/>
      <c r="L103" s="15"/>
      <c r="P103" s="15"/>
      <c r="Q103" s="15"/>
      <c r="Y103" s="15"/>
      <c r="Z103" s="15"/>
    </row>
    <row r="104" spans="1:26" s="2" customFormat="1">
      <c r="A104"/>
      <c r="B104"/>
      <c r="C104"/>
      <c r="D104"/>
      <c r="E104"/>
      <c r="F104"/>
      <c r="G104" s="15" t="s">
        <v>133</v>
      </c>
      <c r="L104" s="15"/>
      <c r="P104" s="15"/>
      <c r="Q104" s="15"/>
      <c r="Y104" s="15"/>
      <c r="Z104" s="15"/>
    </row>
    <row r="105" spans="1:26" s="2" customFormat="1">
      <c r="A105"/>
      <c r="B105"/>
      <c r="C105"/>
      <c r="D105"/>
      <c r="E105"/>
      <c r="F105"/>
      <c r="G105" s="15" t="s">
        <v>131</v>
      </c>
      <c r="L105" s="15"/>
      <c r="P105" s="15"/>
      <c r="Q105" s="15"/>
      <c r="Y105" s="15"/>
      <c r="Z105" s="15"/>
    </row>
    <row r="106" spans="1:26" s="2" customFormat="1">
      <c r="A106"/>
      <c r="B106"/>
      <c r="C106"/>
      <c r="D106"/>
      <c r="E106"/>
      <c r="F106"/>
      <c r="G106" s="15" t="s">
        <v>132</v>
      </c>
      <c r="L106" s="15"/>
      <c r="P106" s="15"/>
      <c r="Q106" s="15"/>
      <c r="Y106" s="15"/>
      <c r="Z106" s="15"/>
    </row>
    <row r="107" spans="1:26" s="2" customFormat="1">
      <c r="A107"/>
      <c r="B107"/>
      <c r="C107"/>
      <c r="D107"/>
      <c r="E107"/>
      <c r="F107"/>
      <c r="G107" s="15"/>
      <c r="J107" s="42"/>
      <c r="L107" s="15"/>
      <c r="P107" s="15"/>
      <c r="Q107" s="15"/>
      <c r="Y107" s="15"/>
      <c r="Z107" s="15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B904-9928-485F-A0E4-79D9B04C0316}">
  <dimension ref="A1:AA107"/>
  <sheetViews>
    <sheetView topLeftCell="D1" zoomScale="85" zoomScaleNormal="85" workbookViewId="0">
      <pane ySplit="3" topLeftCell="A26" activePane="bottomLeft" state="frozen"/>
      <selection activeCell="D1" sqref="D1"/>
      <selection pane="bottomLeft" activeCell="G46" sqref="G46:N46"/>
    </sheetView>
  </sheetViews>
  <sheetFormatPr defaultRowHeight="16.5"/>
  <cols>
    <col min="2" max="2" width="6" customWidth="1"/>
    <col min="3" max="4" width="4.5" customWidth="1"/>
    <col min="5" max="5" width="7.375" bestFit="1" customWidth="1"/>
    <col min="6" max="6" width="9.875" customWidth="1"/>
    <col min="7" max="7" width="15.125" style="15" bestFit="1" customWidth="1"/>
    <col min="8" max="9" width="9" customWidth="1"/>
    <col min="10" max="10" width="14" style="2" customWidth="1"/>
    <col min="11" max="11" width="10.875" style="2" customWidth="1"/>
    <col min="12" max="12" width="8.875" style="15" customWidth="1"/>
    <col min="13" max="13" width="13.5" style="2" customWidth="1"/>
    <col min="14" max="14" width="9.25" style="2" customWidth="1"/>
    <col min="15" max="15" width="10" style="2" customWidth="1"/>
    <col min="16" max="16" width="8.25" style="15" bestFit="1" customWidth="1"/>
    <col min="17" max="20" width="9" style="2"/>
    <col min="21" max="21" width="12.25" style="2" customWidth="1"/>
    <col min="22" max="22" width="9" style="2" customWidth="1"/>
    <col min="23" max="23" width="9" style="2"/>
    <col min="24" max="25" width="15.125" style="15" customWidth="1"/>
    <col min="26" max="26" width="9" style="2" customWidth="1"/>
    <col min="27" max="27" width="9" style="2"/>
  </cols>
  <sheetData>
    <row r="1" spans="1:27">
      <c r="H1" s="2"/>
      <c r="I1" s="2"/>
      <c r="V1" s="15"/>
      <c r="W1" s="15"/>
      <c r="X1" s="2"/>
      <c r="Y1" s="2"/>
      <c r="Z1"/>
      <c r="AA1"/>
    </row>
    <row r="2" spans="1:27" ht="17.25" thickBot="1">
      <c r="H2" s="2"/>
      <c r="I2" s="2"/>
      <c r="V2" s="15"/>
      <c r="W2" s="15"/>
      <c r="X2" s="2"/>
      <c r="Y2" s="2"/>
      <c r="Z2"/>
      <c r="AA2"/>
    </row>
    <row r="3" spans="1:27" s="13" customFormat="1" ht="23.25" customHeight="1" thickBot="1">
      <c r="A3" s="13" t="s">
        <v>46</v>
      </c>
      <c r="E3" s="115" t="s">
        <v>200</v>
      </c>
      <c r="F3" s="114"/>
      <c r="G3" s="59" t="s">
        <v>198</v>
      </c>
      <c r="H3" s="17" t="s">
        <v>75</v>
      </c>
      <c r="I3" s="19" t="s">
        <v>300</v>
      </c>
      <c r="J3" s="18" t="s">
        <v>72</v>
      </c>
      <c r="K3" s="59" t="s">
        <v>74</v>
      </c>
      <c r="L3" s="76" t="s">
        <v>190</v>
      </c>
      <c r="M3" s="62" t="s">
        <v>156</v>
      </c>
      <c r="N3" s="19" t="s">
        <v>121</v>
      </c>
      <c r="O3" s="54" t="s">
        <v>54</v>
      </c>
      <c r="P3" s="202" t="s">
        <v>116</v>
      </c>
      <c r="Q3" s="55" t="s">
        <v>189</v>
      </c>
      <c r="R3" s="56" t="s">
        <v>53</v>
      </c>
      <c r="S3" s="66" t="s">
        <v>195</v>
      </c>
      <c r="T3" s="67" t="s">
        <v>196</v>
      </c>
      <c r="U3" s="68" t="s">
        <v>197</v>
      </c>
      <c r="V3" s="75" t="s">
        <v>159</v>
      </c>
      <c r="W3" s="75" t="s">
        <v>11</v>
      </c>
      <c r="X3" s="19" t="s">
        <v>199</v>
      </c>
      <c r="Y3" s="15"/>
    </row>
    <row r="4" spans="1:27" s="13" customFormat="1" ht="20.100000000000001" customHeight="1" thickTop="1" thickBot="1">
      <c r="E4" s="116"/>
      <c r="F4" s="13" t="s">
        <v>192</v>
      </c>
      <c r="G4" s="16" t="s">
        <v>0</v>
      </c>
      <c r="H4" s="51">
        <v>400</v>
      </c>
      <c r="I4" s="52"/>
      <c r="J4" s="53">
        <v>100</v>
      </c>
      <c r="K4" s="60"/>
      <c r="L4" s="77">
        <v>100</v>
      </c>
      <c r="M4" s="63">
        <v>100</v>
      </c>
      <c r="N4" s="52">
        <v>150</v>
      </c>
      <c r="O4" s="51"/>
      <c r="P4" s="53"/>
      <c r="Q4" s="53"/>
      <c r="R4" s="52"/>
      <c r="S4" s="69"/>
      <c r="T4" s="70"/>
      <c r="U4" s="71"/>
      <c r="V4" s="47"/>
      <c r="W4" s="47"/>
      <c r="X4" s="58"/>
      <c r="Y4" s="15"/>
    </row>
    <row r="5" spans="1:27" s="13" customFormat="1" ht="20.100000000000001" customHeight="1" thickTop="1" thickBot="1">
      <c r="E5" s="116"/>
      <c r="G5" s="16" t="s">
        <v>8</v>
      </c>
      <c r="H5" s="51">
        <v>100</v>
      </c>
      <c r="I5" s="52"/>
      <c r="J5" s="53"/>
      <c r="K5" s="60"/>
      <c r="L5" s="77"/>
      <c r="M5" s="64"/>
      <c r="N5" s="52">
        <v>100</v>
      </c>
      <c r="O5" s="51"/>
      <c r="P5" s="53"/>
      <c r="Q5" s="53"/>
      <c r="R5" s="52"/>
      <c r="S5" s="69"/>
      <c r="T5" s="70"/>
      <c r="U5" s="71"/>
      <c r="V5" s="47"/>
      <c r="W5" s="47"/>
      <c r="X5" s="58"/>
      <c r="Y5" s="15"/>
    </row>
    <row r="6" spans="1:27" s="13" customFormat="1" ht="20.100000000000001" customHeight="1" thickTop="1" thickBot="1">
      <c r="E6" s="116"/>
      <c r="G6" s="16"/>
      <c r="H6" s="29"/>
      <c r="I6" s="57"/>
      <c r="J6" s="14"/>
      <c r="K6" s="16"/>
      <c r="L6" s="77"/>
      <c r="M6" s="64"/>
      <c r="N6" s="57"/>
      <c r="O6" s="29"/>
      <c r="P6" s="14"/>
      <c r="Q6" s="14"/>
      <c r="R6" s="57"/>
      <c r="S6" s="69"/>
      <c r="T6" s="70"/>
      <c r="U6" s="71"/>
      <c r="V6" s="27"/>
      <c r="W6" s="27"/>
      <c r="X6" s="58"/>
      <c r="Y6" s="15"/>
    </row>
    <row r="7" spans="1:27" s="13" customFormat="1" ht="20.100000000000001" customHeight="1" thickTop="1" thickBot="1">
      <c r="E7" s="116"/>
      <c r="G7" s="16" t="s">
        <v>176</v>
      </c>
      <c r="H7" s="51">
        <v>200</v>
      </c>
      <c r="I7" s="52"/>
      <c r="J7" s="53">
        <v>200</v>
      </c>
      <c r="K7" s="60"/>
      <c r="L7" s="77">
        <v>100</v>
      </c>
      <c r="M7" s="64"/>
      <c r="N7" s="52">
        <v>100</v>
      </c>
      <c r="O7" s="51"/>
      <c r="P7" s="53"/>
      <c r="Q7" s="53"/>
      <c r="R7" s="52"/>
      <c r="S7" s="69"/>
      <c r="T7" s="70"/>
      <c r="U7" s="71"/>
      <c r="V7" s="47"/>
      <c r="W7" s="47"/>
      <c r="X7" s="58"/>
      <c r="Y7" s="15"/>
    </row>
    <row r="8" spans="1:27" s="13" customFormat="1" ht="20.100000000000001" customHeight="1" thickTop="1" thickBot="1">
      <c r="E8" s="116"/>
      <c r="G8" s="16" t="s">
        <v>177</v>
      </c>
      <c r="H8" s="51">
        <v>100</v>
      </c>
      <c r="I8" s="52"/>
      <c r="J8" s="53"/>
      <c r="K8" s="60"/>
      <c r="L8" s="77"/>
      <c r="M8" s="64"/>
      <c r="N8" s="52"/>
      <c r="O8" s="51"/>
      <c r="P8" s="53"/>
      <c r="Q8" s="53"/>
      <c r="R8" s="52"/>
      <c r="S8" s="69"/>
      <c r="T8" s="70"/>
      <c r="U8" s="71"/>
      <c r="V8" s="47"/>
      <c r="W8" s="47"/>
      <c r="X8" s="58"/>
      <c r="Y8" s="15"/>
    </row>
    <row r="9" spans="1:27" s="13" customFormat="1" ht="20.100000000000001" customHeight="1" thickTop="1" thickBot="1">
      <c r="E9" s="116"/>
      <c r="G9" s="16" t="s">
        <v>181</v>
      </c>
      <c r="H9" s="51">
        <v>150</v>
      </c>
      <c r="I9" s="52"/>
      <c r="J9" s="53"/>
      <c r="K9" s="60"/>
      <c r="L9" s="77"/>
      <c r="M9" s="64"/>
      <c r="N9" s="52">
        <v>50</v>
      </c>
      <c r="O9" s="51"/>
      <c r="P9" s="53"/>
      <c r="Q9" s="53"/>
      <c r="R9" s="52"/>
      <c r="S9" s="69"/>
      <c r="T9" s="70"/>
      <c r="U9" s="71"/>
      <c r="V9" s="47"/>
      <c r="W9" s="47"/>
      <c r="X9" s="58"/>
      <c r="Y9" s="15"/>
    </row>
    <row r="10" spans="1:27" s="13" customFormat="1" ht="20.100000000000001" customHeight="1" thickTop="1" thickBot="1">
      <c r="E10" s="116"/>
      <c r="G10" s="16" t="s">
        <v>182</v>
      </c>
      <c r="H10" s="51">
        <v>150</v>
      </c>
      <c r="I10" s="52"/>
      <c r="J10" s="53"/>
      <c r="K10" s="60"/>
      <c r="L10" s="77"/>
      <c r="M10" s="64"/>
      <c r="N10" s="52">
        <v>50</v>
      </c>
      <c r="O10" s="51"/>
      <c r="P10" s="53"/>
      <c r="Q10" s="53"/>
      <c r="R10" s="52"/>
      <c r="S10" s="69"/>
      <c r="T10" s="70"/>
      <c r="U10" s="71"/>
      <c r="V10" s="47"/>
      <c r="W10" s="47"/>
      <c r="X10" s="58"/>
      <c r="Y10" s="15"/>
    </row>
    <row r="11" spans="1:27" s="13" customFormat="1" ht="20.100000000000001" customHeight="1" thickTop="1" thickBot="1">
      <c r="E11" s="116"/>
      <c r="G11" s="16" t="s">
        <v>183</v>
      </c>
      <c r="H11" s="51">
        <v>200</v>
      </c>
      <c r="I11" s="52"/>
      <c r="J11" s="53"/>
      <c r="K11" s="60"/>
      <c r="L11" s="77"/>
      <c r="M11" s="64"/>
      <c r="N11" s="52">
        <v>100</v>
      </c>
      <c r="O11" s="51"/>
      <c r="P11" s="53"/>
      <c r="Q11" s="53" t="s">
        <v>118</v>
      </c>
      <c r="R11" s="52"/>
      <c r="S11" s="69"/>
      <c r="T11" s="70"/>
      <c r="U11" s="71"/>
      <c r="V11" s="47"/>
      <c r="W11" s="47"/>
      <c r="X11" s="58"/>
      <c r="Y11" s="15"/>
    </row>
    <row r="12" spans="1:27" s="13" customFormat="1" ht="20.100000000000001" customHeight="1" thickTop="1" thickBot="1">
      <c r="E12" s="116"/>
      <c r="G12" s="16" t="s">
        <v>187</v>
      </c>
      <c r="H12" s="51">
        <v>100</v>
      </c>
      <c r="I12" s="52"/>
      <c r="J12" s="53"/>
      <c r="K12" s="60"/>
      <c r="L12" s="77"/>
      <c r="M12" s="64">
        <v>100</v>
      </c>
      <c r="N12" s="52"/>
      <c r="O12" s="51"/>
      <c r="P12" s="53"/>
      <c r="Q12" s="53"/>
      <c r="R12" s="52"/>
      <c r="S12" s="69"/>
      <c r="T12" s="70"/>
      <c r="U12" s="71"/>
      <c r="V12" s="47"/>
      <c r="W12" s="47"/>
      <c r="X12" s="58"/>
      <c r="Y12" s="15"/>
    </row>
    <row r="13" spans="1:27" s="13" customFormat="1" ht="20.100000000000001" customHeight="1" thickTop="1" thickBot="1">
      <c r="E13" s="116"/>
      <c r="G13" s="16" t="s">
        <v>184</v>
      </c>
      <c r="H13" s="51"/>
      <c r="I13" s="52"/>
      <c r="J13" s="53"/>
      <c r="K13" s="60"/>
      <c r="L13" s="77"/>
      <c r="M13" s="64"/>
      <c r="N13" s="52"/>
      <c r="O13" s="51"/>
      <c r="P13" s="53"/>
      <c r="Q13" s="53"/>
      <c r="R13" s="52"/>
      <c r="S13" s="69"/>
      <c r="T13" s="70"/>
      <c r="U13" s="71"/>
      <c r="V13" s="47"/>
      <c r="W13" s="47"/>
      <c r="X13" s="58"/>
      <c r="Y13" s="15"/>
    </row>
    <row r="14" spans="1:27" s="13" customFormat="1" ht="20.100000000000001" customHeight="1" thickTop="1" thickBot="1">
      <c r="E14" s="116"/>
      <c r="G14" s="16" t="s">
        <v>185</v>
      </c>
      <c r="H14" s="51"/>
      <c r="I14" s="52"/>
      <c r="J14" s="53"/>
      <c r="K14" s="60"/>
      <c r="L14" s="77"/>
      <c r="M14" s="64"/>
      <c r="N14" s="52"/>
      <c r="O14" s="51"/>
      <c r="P14" s="53"/>
      <c r="Q14" s="53"/>
      <c r="R14" s="52"/>
      <c r="S14" s="69"/>
      <c r="T14" s="70"/>
      <c r="U14" s="71"/>
      <c r="V14" s="47"/>
      <c r="W14" s="47"/>
      <c r="X14" s="58"/>
      <c r="Y14" s="15"/>
    </row>
    <row r="15" spans="1:27" s="13" customFormat="1" ht="20.100000000000001" customHeight="1" thickTop="1" thickBot="1">
      <c r="B15" s="13" t="s">
        <v>51</v>
      </c>
      <c r="E15" s="116"/>
      <c r="G15" s="16" t="s">
        <v>188</v>
      </c>
      <c r="H15" s="51"/>
      <c r="I15" s="52"/>
      <c r="J15" s="53"/>
      <c r="K15" s="60"/>
      <c r="L15" s="77"/>
      <c r="M15" s="64"/>
      <c r="N15" s="52"/>
      <c r="O15" s="51"/>
      <c r="P15" s="53"/>
      <c r="Q15" s="53"/>
      <c r="R15" s="52"/>
      <c r="S15" s="69"/>
      <c r="T15" s="70"/>
      <c r="U15" s="71"/>
      <c r="V15" s="47"/>
      <c r="W15" s="47"/>
      <c r="X15" s="58"/>
      <c r="Y15" s="15"/>
    </row>
    <row r="16" spans="1:27" s="13" customFormat="1" ht="20.100000000000001" customHeight="1" thickTop="1" thickBot="1">
      <c r="E16" s="116"/>
      <c r="G16" s="16" t="s">
        <v>186</v>
      </c>
      <c r="H16" s="51"/>
      <c r="I16" s="52"/>
      <c r="J16" s="53"/>
      <c r="K16" s="60"/>
      <c r="L16" s="77"/>
      <c r="M16" s="64"/>
      <c r="N16" s="52"/>
      <c r="O16" s="51"/>
      <c r="P16" s="53"/>
      <c r="Q16" s="53"/>
      <c r="R16" s="52"/>
      <c r="S16" s="69"/>
      <c r="T16" s="70"/>
      <c r="U16" s="71"/>
      <c r="V16" s="47"/>
      <c r="W16" s="47"/>
      <c r="X16" s="58"/>
      <c r="Y16" s="15"/>
    </row>
    <row r="17" spans="1:27" s="13" customFormat="1" ht="20.100000000000001" customHeight="1" thickTop="1" thickBot="1">
      <c r="E17" s="116"/>
      <c r="G17" s="117" t="s">
        <v>1</v>
      </c>
      <c r="H17" s="118">
        <v>400</v>
      </c>
      <c r="I17" s="119"/>
      <c r="J17" s="120"/>
      <c r="K17" s="121"/>
      <c r="L17" s="122">
        <v>100</v>
      </c>
      <c r="M17" s="123">
        <v>100</v>
      </c>
      <c r="N17" s="119">
        <v>150</v>
      </c>
      <c r="O17" s="118"/>
      <c r="P17" s="120"/>
      <c r="Q17" s="120"/>
      <c r="R17" s="119"/>
      <c r="S17" s="124"/>
      <c r="T17" s="125"/>
      <c r="U17" s="126"/>
      <c r="V17" s="127"/>
      <c r="W17" s="127"/>
      <c r="X17" s="128"/>
      <c r="Y17" s="15"/>
    </row>
    <row r="18" spans="1:27" s="13" customFormat="1" ht="20.100000000000001" customHeight="1" thickTop="1" thickBot="1">
      <c r="E18" s="116"/>
      <c r="G18" s="16"/>
      <c r="H18" s="29"/>
      <c r="I18" s="57"/>
      <c r="J18" s="14"/>
      <c r="K18" s="16"/>
      <c r="L18" s="77"/>
      <c r="M18" s="64"/>
      <c r="N18" s="57"/>
      <c r="O18" s="29"/>
      <c r="P18" s="14"/>
      <c r="Q18" s="14"/>
      <c r="R18" s="57"/>
      <c r="S18" s="69"/>
      <c r="T18" s="70"/>
      <c r="U18" s="71"/>
      <c r="V18" s="27"/>
      <c r="W18" s="27"/>
      <c r="X18" s="58"/>
      <c r="Y18" s="15"/>
    </row>
    <row r="19" spans="1:27" s="13" customFormat="1" ht="20.100000000000001" customHeight="1" thickTop="1" thickBot="1">
      <c r="E19" s="116"/>
      <c r="F19" s="13" t="s">
        <v>193</v>
      </c>
      <c r="G19" s="16" t="s">
        <v>175</v>
      </c>
      <c r="H19" s="51">
        <v>500</v>
      </c>
      <c r="I19" s="52"/>
      <c r="J19" s="53">
        <v>400</v>
      </c>
      <c r="K19" s="60"/>
      <c r="L19" s="77">
        <v>100</v>
      </c>
      <c r="M19" s="64"/>
      <c r="N19" s="52">
        <v>200</v>
      </c>
      <c r="O19" s="51"/>
      <c r="P19" s="53"/>
      <c r="Q19" s="53"/>
      <c r="R19" s="52"/>
      <c r="S19" s="69"/>
      <c r="T19" s="70"/>
      <c r="U19" s="71"/>
      <c r="V19" s="47"/>
      <c r="W19" s="47"/>
      <c r="X19" s="58"/>
      <c r="Y19" s="15"/>
    </row>
    <row r="20" spans="1:27" ht="20.100000000000001" customHeight="1" thickTop="1" thickBot="1">
      <c r="A20" s="13" t="s">
        <v>32</v>
      </c>
      <c r="B20" s="13" t="s">
        <v>51</v>
      </c>
      <c r="C20" s="13"/>
      <c r="D20" s="13"/>
      <c r="E20" s="116"/>
      <c r="F20" s="13"/>
      <c r="G20" s="16" t="s">
        <v>33</v>
      </c>
      <c r="H20" s="29">
        <v>200</v>
      </c>
      <c r="I20" s="57"/>
      <c r="J20" s="14">
        <v>200</v>
      </c>
      <c r="K20" s="16"/>
      <c r="L20" s="77">
        <v>100</v>
      </c>
      <c r="M20" s="129">
        <v>100</v>
      </c>
      <c r="N20" s="21"/>
      <c r="O20" s="29"/>
      <c r="P20" s="14"/>
      <c r="Q20" s="5"/>
      <c r="R20" s="21"/>
      <c r="S20" s="69"/>
      <c r="T20" s="70"/>
      <c r="U20" s="71"/>
      <c r="V20" s="27"/>
      <c r="W20" s="27"/>
      <c r="X20" s="58"/>
      <c r="Y20" s="2"/>
      <c r="Z20"/>
      <c r="AA20"/>
    </row>
    <row r="21" spans="1:27" s="13" customFormat="1" ht="20.100000000000001" customHeight="1" thickTop="1" thickBot="1">
      <c r="E21" s="116"/>
      <c r="G21" s="16"/>
      <c r="H21" s="51"/>
      <c r="I21" s="52"/>
      <c r="J21" s="53"/>
      <c r="K21" s="60"/>
      <c r="L21" s="77"/>
      <c r="M21" s="64"/>
      <c r="N21" s="52"/>
      <c r="O21" s="51"/>
      <c r="P21" s="53"/>
      <c r="Q21" s="53"/>
      <c r="R21" s="52"/>
      <c r="S21" s="69"/>
      <c r="T21" s="70"/>
      <c r="U21" s="71"/>
      <c r="V21" s="47"/>
      <c r="W21" s="47"/>
      <c r="X21" s="58"/>
      <c r="Y21" s="15"/>
    </row>
    <row r="22" spans="1:27" s="13" customFormat="1" ht="20.100000000000001" customHeight="1" thickTop="1" thickBot="1">
      <c r="E22" s="116"/>
      <c r="F22" s="13" t="s">
        <v>194</v>
      </c>
      <c r="G22" s="16" t="s">
        <v>5</v>
      </c>
      <c r="H22" s="51">
        <v>100</v>
      </c>
      <c r="I22" s="52"/>
      <c r="J22" s="53"/>
      <c r="K22" s="60"/>
      <c r="L22" s="77"/>
      <c r="M22" s="64"/>
      <c r="N22" s="52"/>
      <c r="O22" s="51"/>
      <c r="P22" s="53"/>
      <c r="Q22" s="53"/>
      <c r="R22" s="52"/>
      <c r="S22" s="69"/>
      <c r="T22" s="70"/>
      <c r="U22" s="71"/>
      <c r="V22" s="47"/>
      <c r="W22" s="47"/>
      <c r="X22" s="58"/>
      <c r="Y22" s="15"/>
    </row>
    <row r="23" spans="1:27" s="13" customFormat="1" ht="20.100000000000001" customHeight="1" thickTop="1" thickBot="1">
      <c r="E23" s="116"/>
      <c r="G23" s="16" t="s">
        <v>6</v>
      </c>
      <c r="H23" s="51">
        <v>200</v>
      </c>
      <c r="I23" s="52"/>
      <c r="J23" s="53"/>
      <c r="K23" s="60"/>
      <c r="L23" s="77"/>
      <c r="M23" s="64"/>
      <c r="N23" s="52"/>
      <c r="O23" s="51"/>
      <c r="P23" s="53"/>
      <c r="Q23" s="53"/>
      <c r="R23" s="52"/>
      <c r="S23" s="69"/>
      <c r="T23" s="70"/>
      <c r="U23" s="71"/>
      <c r="V23" s="47"/>
      <c r="W23" s="47"/>
      <c r="X23" s="58"/>
      <c r="Y23" s="15"/>
    </row>
    <row r="24" spans="1:27" s="13" customFormat="1" ht="20.100000000000001" customHeight="1" thickTop="1" thickBot="1">
      <c r="E24" s="116"/>
      <c r="G24" s="16" t="s">
        <v>179</v>
      </c>
      <c r="H24" s="51"/>
      <c r="I24" s="52"/>
      <c r="J24" s="53"/>
      <c r="K24" s="60"/>
      <c r="L24" s="77"/>
      <c r="M24" s="64"/>
      <c r="N24" s="52"/>
      <c r="O24" s="51"/>
      <c r="P24" s="53"/>
      <c r="Q24" s="53"/>
      <c r="R24" s="52"/>
      <c r="S24" s="69"/>
      <c r="T24" s="70"/>
      <c r="U24" s="71"/>
      <c r="V24" s="47"/>
      <c r="W24" s="47"/>
      <c r="X24" s="58"/>
      <c r="Y24" s="15"/>
    </row>
    <row r="25" spans="1:27" s="13" customFormat="1" ht="20.100000000000001" customHeight="1" thickTop="1" thickBot="1">
      <c r="E25" s="116"/>
      <c r="G25" s="16"/>
      <c r="H25" s="51"/>
      <c r="I25" s="52"/>
      <c r="J25" s="53"/>
      <c r="K25" s="60"/>
      <c r="L25" s="77"/>
      <c r="M25" s="64"/>
      <c r="N25" s="52"/>
      <c r="O25" s="51"/>
      <c r="P25" s="53"/>
      <c r="Q25" s="53"/>
      <c r="R25" s="52"/>
      <c r="S25" s="69"/>
      <c r="T25" s="70"/>
      <c r="U25" s="71"/>
      <c r="V25" s="47"/>
      <c r="W25" s="47"/>
      <c r="X25" s="58"/>
      <c r="Y25" s="15"/>
    </row>
    <row r="26" spans="1:27" s="13" customFormat="1" ht="20.100000000000001" customHeight="1" thickTop="1">
      <c r="G26" s="16"/>
      <c r="H26" s="29"/>
      <c r="I26" s="57"/>
      <c r="J26" s="14"/>
      <c r="K26" s="16"/>
      <c r="L26" s="83"/>
      <c r="M26" s="64"/>
      <c r="N26" s="57"/>
      <c r="O26" s="29"/>
      <c r="P26" s="14"/>
      <c r="Q26" s="14"/>
      <c r="R26" s="57"/>
      <c r="S26" s="69"/>
      <c r="T26" s="70"/>
      <c r="U26" s="71"/>
      <c r="V26" s="15"/>
      <c r="W26" s="15"/>
      <c r="X26" s="15"/>
      <c r="Y26" s="15"/>
    </row>
    <row r="27" spans="1:27" s="13" customFormat="1" ht="20.100000000000001" customHeight="1">
      <c r="F27" s="13" t="s">
        <v>91</v>
      </c>
      <c r="G27" s="16" t="s">
        <v>299</v>
      </c>
      <c r="H27" s="29"/>
      <c r="I27" s="57"/>
      <c r="J27" s="14"/>
      <c r="K27" s="16"/>
      <c r="L27" s="83"/>
      <c r="M27" s="64"/>
      <c r="N27" s="57"/>
      <c r="O27" s="29"/>
      <c r="P27" s="14"/>
      <c r="Q27" s="14"/>
      <c r="R27" s="57"/>
      <c r="S27" s="69"/>
      <c r="T27" s="70"/>
      <c r="U27" s="71"/>
      <c r="V27" s="15"/>
      <c r="W27" s="15"/>
      <c r="X27" s="15"/>
      <c r="Y27" s="15"/>
    </row>
    <row r="28" spans="1:27" s="13" customFormat="1" ht="20.100000000000001" customHeight="1">
      <c r="G28" s="16" t="s">
        <v>323</v>
      </c>
      <c r="H28" s="29">
        <v>100</v>
      </c>
      <c r="I28" s="57"/>
      <c r="J28" s="14"/>
      <c r="K28" s="16"/>
      <c r="L28" s="83"/>
      <c r="M28" s="64"/>
      <c r="N28" s="57">
        <v>50</v>
      </c>
      <c r="O28" s="29"/>
      <c r="P28" s="14" t="s">
        <v>117</v>
      </c>
      <c r="Q28" s="14"/>
      <c r="R28" s="57"/>
      <c r="S28" s="69"/>
      <c r="T28" s="70"/>
      <c r="U28" s="71"/>
      <c r="V28" s="47"/>
      <c r="W28" s="47"/>
      <c r="X28" s="15"/>
      <c r="Y28" s="15"/>
    </row>
    <row r="29" spans="1:27" s="102" customFormat="1" ht="20.100000000000001" customHeight="1">
      <c r="G29" s="103">
        <f>SUBTOTAL(109,G4:G25)</f>
        <v>0</v>
      </c>
      <c r="H29" s="104">
        <f>SUBTOTAL(109,H4:H28)</f>
        <v>2900</v>
      </c>
      <c r="I29" s="105"/>
      <c r="J29" s="106">
        <f>SUBTOTAL(109,J4:J28)</f>
        <v>900</v>
      </c>
      <c r="K29" s="103"/>
      <c r="L29" s="107"/>
      <c r="M29" s="108">
        <f>SUBTOTAL(109,M4:M28)</f>
        <v>400</v>
      </c>
      <c r="N29" s="105">
        <f>SUBTOTAL(109,N4:N28)</f>
        <v>950</v>
      </c>
      <c r="O29" s="104"/>
      <c r="P29" s="106"/>
      <c r="Q29" s="106"/>
      <c r="R29" s="105"/>
      <c r="S29" s="109"/>
      <c r="T29" s="110"/>
      <c r="U29" s="111"/>
      <c r="V29" s="112"/>
      <c r="W29" s="112"/>
      <c r="X29" s="113"/>
      <c r="Y29" s="113"/>
    </row>
    <row r="30" spans="1:27" s="15" customFormat="1" ht="20.100000000000001" customHeight="1" thickBot="1">
      <c r="G30" s="60"/>
      <c r="H30" s="51"/>
      <c r="I30" s="52"/>
      <c r="J30" s="53"/>
      <c r="K30" s="60"/>
      <c r="L30" s="78"/>
      <c r="M30" s="63"/>
      <c r="N30" s="52"/>
      <c r="O30" s="51"/>
      <c r="P30" s="53"/>
      <c r="Q30" s="53"/>
      <c r="R30" s="52"/>
      <c r="S30" s="72"/>
      <c r="T30" s="73"/>
      <c r="U30" s="74"/>
      <c r="V30" s="47"/>
      <c r="W30" s="47"/>
    </row>
    <row r="31" spans="1:27" s="13" customFormat="1" ht="20.100000000000001" customHeight="1" thickTop="1" thickBot="1">
      <c r="G31" s="16"/>
      <c r="H31" s="51"/>
      <c r="I31" s="52"/>
      <c r="J31" s="53"/>
      <c r="K31" s="60"/>
      <c r="L31" s="77"/>
      <c r="M31" s="65"/>
      <c r="N31" s="52"/>
      <c r="O31" s="51"/>
      <c r="P31" s="53"/>
      <c r="Q31" s="53"/>
      <c r="R31" s="52"/>
      <c r="S31" s="69"/>
      <c r="T31" s="70"/>
      <c r="U31" s="71"/>
      <c r="V31" s="47"/>
      <c r="W31" s="47"/>
      <c r="X31" s="15"/>
      <c r="Y31" s="15"/>
    </row>
    <row r="32" spans="1:27" s="13" customFormat="1" ht="20.100000000000001" customHeight="1" thickTop="1" thickBot="1">
      <c r="B32" s="13" t="s">
        <v>51</v>
      </c>
      <c r="F32" s="13" t="s">
        <v>46</v>
      </c>
      <c r="G32" s="16" t="s">
        <v>28</v>
      </c>
      <c r="H32" s="51">
        <v>200</v>
      </c>
      <c r="I32" s="52"/>
      <c r="J32" s="53"/>
      <c r="K32" s="60"/>
      <c r="L32" s="77">
        <v>100</v>
      </c>
      <c r="M32" s="65"/>
      <c r="N32" s="52">
        <v>100</v>
      </c>
      <c r="O32" s="51"/>
      <c r="P32" s="53"/>
      <c r="Q32" s="53"/>
      <c r="R32" s="52"/>
      <c r="S32" s="69"/>
      <c r="T32" s="70"/>
      <c r="U32" s="71"/>
      <c r="V32" s="47"/>
      <c r="W32" s="47"/>
      <c r="X32" s="15"/>
      <c r="Y32" s="15"/>
    </row>
    <row r="33" spans="2:27" s="13" customFormat="1" ht="20.100000000000001" customHeight="1" thickTop="1" thickBot="1">
      <c r="G33" s="16" t="s">
        <v>27</v>
      </c>
      <c r="H33" s="29">
        <v>300</v>
      </c>
      <c r="I33" s="57"/>
      <c r="J33" s="14"/>
      <c r="K33" s="16"/>
      <c r="L33" s="77">
        <v>100</v>
      </c>
      <c r="M33" s="65"/>
      <c r="N33" s="57">
        <v>100</v>
      </c>
      <c r="O33" s="29" t="s">
        <v>324</v>
      </c>
      <c r="P33" s="14"/>
      <c r="Q33" s="14"/>
      <c r="R33" s="57"/>
      <c r="S33" s="69"/>
      <c r="T33" s="70"/>
      <c r="U33" s="71"/>
      <c r="V33" s="47"/>
      <c r="W33" s="47"/>
      <c r="X33" s="15"/>
      <c r="Y33" s="15"/>
    </row>
    <row r="34" spans="2:27" s="13" customFormat="1" ht="20.100000000000001" customHeight="1" thickTop="1" thickBot="1">
      <c r="B34" s="13" t="s">
        <v>51</v>
      </c>
      <c r="G34" s="16" t="s">
        <v>29</v>
      </c>
      <c r="H34" s="51">
        <v>350</v>
      </c>
      <c r="I34" s="52"/>
      <c r="J34" s="53"/>
      <c r="K34" s="60"/>
      <c r="L34" s="77">
        <v>100</v>
      </c>
      <c r="M34" s="64"/>
      <c r="N34" s="52">
        <v>100</v>
      </c>
      <c r="O34" s="29" t="s">
        <v>324</v>
      </c>
      <c r="P34" s="53"/>
      <c r="Q34" s="53"/>
      <c r="R34" s="52"/>
      <c r="S34" s="69"/>
      <c r="T34" s="70"/>
      <c r="U34" s="71"/>
      <c r="V34" s="47"/>
      <c r="W34" s="47"/>
      <c r="X34" s="15"/>
      <c r="Y34" s="15"/>
    </row>
    <row r="35" spans="2:27" s="13" customFormat="1" ht="20.100000000000001" customHeight="1" thickTop="1" thickBot="1">
      <c r="B35" s="13" t="s">
        <v>51</v>
      </c>
      <c r="G35" s="16" t="s">
        <v>30</v>
      </c>
      <c r="H35" s="51">
        <v>300</v>
      </c>
      <c r="I35" s="52"/>
      <c r="J35" s="53"/>
      <c r="K35" s="60"/>
      <c r="L35" s="77">
        <v>100</v>
      </c>
      <c r="M35" s="65"/>
      <c r="N35" s="52">
        <v>100</v>
      </c>
      <c r="O35" s="29" t="s">
        <v>324</v>
      </c>
      <c r="P35" s="53"/>
      <c r="Q35" s="53"/>
      <c r="R35" s="52"/>
      <c r="S35" s="69"/>
      <c r="T35" s="70"/>
      <c r="U35" s="71"/>
      <c r="V35" s="47"/>
      <c r="W35" s="47"/>
      <c r="X35" s="15"/>
      <c r="Y35" s="15"/>
    </row>
    <row r="36" spans="2:27" s="13" customFormat="1" ht="20.100000000000001" customHeight="1" thickTop="1" thickBot="1">
      <c r="B36" s="13" t="s">
        <v>51</v>
      </c>
      <c r="C36" s="13" t="s">
        <v>128</v>
      </c>
      <c r="G36" s="16" t="s">
        <v>31</v>
      </c>
      <c r="H36" s="51">
        <v>300</v>
      </c>
      <c r="I36" s="52"/>
      <c r="J36" s="53"/>
      <c r="K36" s="60"/>
      <c r="L36" s="77">
        <v>100</v>
      </c>
      <c r="M36" s="64"/>
      <c r="N36" s="52">
        <v>100</v>
      </c>
      <c r="O36" s="51"/>
      <c r="P36" s="53"/>
      <c r="Q36" s="53"/>
      <c r="R36" s="52"/>
      <c r="S36" s="69"/>
      <c r="T36" s="70"/>
      <c r="U36" s="71"/>
      <c r="V36" s="47"/>
      <c r="W36" s="47"/>
      <c r="X36" s="15"/>
      <c r="Y36" s="15"/>
    </row>
    <row r="37" spans="2:27" s="13" customFormat="1" ht="20.100000000000001" customHeight="1" thickTop="1" thickBot="1">
      <c r="C37" s="13" t="s">
        <v>128</v>
      </c>
      <c r="G37" s="16" t="s">
        <v>173</v>
      </c>
      <c r="H37" s="51">
        <v>100</v>
      </c>
      <c r="I37" s="52">
        <v>100</v>
      </c>
      <c r="J37" s="53"/>
      <c r="K37" s="60"/>
      <c r="L37" s="77">
        <v>100</v>
      </c>
      <c r="M37" s="65"/>
      <c r="N37" s="52">
        <v>100</v>
      </c>
      <c r="O37" s="51"/>
      <c r="P37" s="53"/>
      <c r="Q37" s="53"/>
      <c r="R37" s="52"/>
      <c r="S37" s="69"/>
      <c r="T37" s="70"/>
      <c r="U37" s="71"/>
      <c r="V37" s="47"/>
      <c r="W37" s="47"/>
      <c r="X37" s="15"/>
      <c r="Y37" s="15"/>
    </row>
    <row r="38" spans="2:27" s="13" customFormat="1" ht="20.100000000000001" customHeight="1" thickTop="1" thickBot="1">
      <c r="G38" s="16" t="s">
        <v>253</v>
      </c>
      <c r="H38" s="29"/>
      <c r="I38" s="57"/>
      <c r="J38" s="14"/>
      <c r="K38" s="16"/>
      <c r="L38" s="77"/>
      <c r="M38" s="64"/>
      <c r="N38" s="57"/>
      <c r="O38" s="29"/>
      <c r="P38" s="14"/>
      <c r="Q38" s="14"/>
      <c r="R38" s="57"/>
      <c r="S38" s="69"/>
      <c r="T38" s="70"/>
      <c r="U38" s="71"/>
      <c r="V38" s="27"/>
      <c r="W38" s="27"/>
      <c r="X38" s="15" t="s">
        <v>311</v>
      </c>
      <c r="Y38" s="15"/>
    </row>
    <row r="39" spans="2:27" s="13" customFormat="1" ht="20.100000000000001" customHeight="1" thickTop="1" thickBot="1">
      <c r="G39" s="16"/>
      <c r="H39" s="29"/>
      <c r="I39" s="57"/>
      <c r="J39" s="14"/>
      <c r="K39" s="16"/>
      <c r="L39" s="77"/>
      <c r="M39" s="64"/>
      <c r="N39" s="57"/>
      <c r="O39" s="29"/>
      <c r="P39" s="14"/>
      <c r="Q39" s="14"/>
      <c r="R39" s="57"/>
      <c r="S39" s="69"/>
      <c r="T39" s="70"/>
      <c r="U39" s="71"/>
      <c r="V39" s="47"/>
      <c r="W39" s="47"/>
      <c r="X39" s="15"/>
      <c r="Y39" s="15"/>
    </row>
    <row r="40" spans="2:27" ht="20.100000000000001" customHeight="1" thickTop="1" thickBot="1">
      <c r="B40" t="s">
        <v>51</v>
      </c>
      <c r="F40" s="13" t="s">
        <v>193</v>
      </c>
      <c r="G40" s="16"/>
      <c r="H40" s="29"/>
      <c r="I40" s="57"/>
      <c r="J40" s="14"/>
      <c r="K40" s="16"/>
      <c r="L40" s="77"/>
      <c r="M40" s="64"/>
      <c r="N40" s="57"/>
      <c r="O40" s="29"/>
      <c r="P40" s="14"/>
      <c r="Q40" s="5"/>
      <c r="R40" s="21"/>
      <c r="S40" s="69"/>
      <c r="T40" s="70"/>
      <c r="U40" s="71"/>
      <c r="V40" s="27"/>
      <c r="W40" s="27"/>
      <c r="Y40" s="2"/>
      <c r="Z40"/>
      <c r="AA40"/>
    </row>
    <row r="41" spans="2:27" ht="20.100000000000001" customHeight="1" thickTop="1" thickBot="1">
      <c r="G41" s="16"/>
      <c r="H41" s="29"/>
      <c r="I41" s="57"/>
      <c r="J41" s="14"/>
      <c r="K41" s="14"/>
      <c r="L41" s="77"/>
      <c r="M41" s="29"/>
      <c r="N41" s="57"/>
      <c r="O41" s="29"/>
      <c r="P41" s="14"/>
      <c r="Q41" s="5"/>
      <c r="R41" s="21"/>
      <c r="S41" s="69"/>
      <c r="T41" s="70"/>
      <c r="U41" s="71"/>
      <c r="V41" s="47"/>
      <c r="W41" s="47"/>
      <c r="Y41" s="2"/>
      <c r="Z41"/>
      <c r="AA41"/>
    </row>
    <row r="42" spans="2:27" s="13" customFormat="1" ht="20.100000000000001" customHeight="1" thickTop="1" thickBot="1">
      <c r="E42" s="116"/>
      <c r="G42" s="16" t="s">
        <v>178</v>
      </c>
      <c r="H42" s="51">
        <v>300</v>
      </c>
      <c r="I42" s="52"/>
      <c r="J42" s="53"/>
      <c r="K42" s="60"/>
      <c r="L42" s="77">
        <v>100</v>
      </c>
      <c r="M42" s="64">
        <v>200</v>
      </c>
      <c r="N42" s="52">
        <v>100</v>
      </c>
      <c r="O42" s="51"/>
      <c r="P42" s="53"/>
      <c r="Q42" s="53"/>
      <c r="R42" s="52"/>
      <c r="S42" s="69"/>
      <c r="T42" s="70"/>
      <c r="U42" s="71"/>
      <c r="V42" s="47"/>
      <c r="W42" s="47"/>
      <c r="X42" s="58"/>
      <c r="Y42" s="15"/>
    </row>
    <row r="43" spans="2:27" ht="20.100000000000001" customHeight="1" thickTop="1" thickBot="1">
      <c r="B43" t="s">
        <v>51</v>
      </c>
      <c r="G43" s="16" t="s">
        <v>138</v>
      </c>
      <c r="H43" s="29">
        <v>150</v>
      </c>
      <c r="I43" s="57"/>
      <c r="J43" s="14"/>
      <c r="K43" s="16"/>
      <c r="L43" s="77">
        <v>100</v>
      </c>
      <c r="M43" s="129"/>
      <c r="N43" s="57">
        <v>50</v>
      </c>
      <c r="O43" s="29" t="s">
        <v>328</v>
      </c>
      <c r="P43" s="14"/>
      <c r="Q43" s="5"/>
      <c r="R43" s="21"/>
      <c r="S43" s="69"/>
      <c r="T43" s="70"/>
      <c r="U43" s="71"/>
      <c r="V43" s="27"/>
      <c r="W43" s="27"/>
      <c r="Y43" s="2"/>
      <c r="Z43"/>
      <c r="AA43"/>
    </row>
    <row r="44" spans="2:27" ht="20.100000000000001" customHeight="1" thickTop="1" thickBot="1">
      <c r="B44" t="s">
        <v>51</v>
      </c>
      <c r="G44" s="16" t="s">
        <v>36</v>
      </c>
      <c r="H44" s="29">
        <v>200</v>
      </c>
      <c r="I44" s="57">
        <v>200</v>
      </c>
      <c r="J44" s="14"/>
      <c r="K44" s="16"/>
      <c r="L44" s="77"/>
      <c r="M44" s="129"/>
      <c r="N44" s="57">
        <v>200</v>
      </c>
      <c r="O44" s="29"/>
      <c r="P44" s="14"/>
      <c r="Q44" s="5"/>
      <c r="R44" s="21"/>
      <c r="S44" s="69"/>
      <c r="T44" s="70"/>
      <c r="U44" s="71"/>
      <c r="V44" s="27"/>
      <c r="W44" s="27"/>
      <c r="Y44" s="2"/>
      <c r="Z44"/>
      <c r="AA44"/>
    </row>
    <row r="45" spans="2:27" ht="19.5" customHeight="1" thickTop="1" thickBot="1">
      <c r="G45" s="16" t="s">
        <v>37</v>
      </c>
      <c r="H45" s="29">
        <v>100</v>
      </c>
      <c r="I45" s="57">
        <v>100</v>
      </c>
      <c r="J45" s="14"/>
      <c r="K45" s="16"/>
      <c r="L45" s="77">
        <v>100</v>
      </c>
      <c r="M45" s="64"/>
      <c r="N45" s="57">
        <v>100</v>
      </c>
      <c r="O45" s="50"/>
      <c r="P45" s="14"/>
      <c r="Q45" s="5"/>
      <c r="R45" s="21"/>
      <c r="S45" s="69"/>
      <c r="T45" s="70"/>
      <c r="U45" s="71"/>
      <c r="V45" s="27"/>
      <c r="W45" s="27"/>
      <c r="Y45" s="2"/>
      <c r="Z45"/>
      <c r="AA45"/>
    </row>
    <row r="46" spans="2:27" s="13" customFormat="1" ht="20.100000000000001" customHeight="1" thickTop="1" thickBot="1">
      <c r="B46" s="13" t="s">
        <v>51</v>
      </c>
      <c r="G46" s="16" t="s">
        <v>47</v>
      </c>
      <c r="H46" s="51">
        <v>300</v>
      </c>
      <c r="I46" s="52"/>
      <c r="J46" s="53"/>
      <c r="K46" s="60"/>
      <c r="L46" s="77">
        <v>100</v>
      </c>
      <c r="M46" s="64"/>
      <c r="N46" s="52">
        <v>100</v>
      </c>
      <c r="O46" s="51"/>
      <c r="P46" s="53"/>
      <c r="Q46" s="53"/>
      <c r="R46" s="52"/>
      <c r="S46" s="69"/>
      <c r="T46" s="70"/>
      <c r="U46" s="71"/>
      <c r="V46" s="47"/>
      <c r="W46" s="47"/>
      <c r="X46" s="15"/>
      <c r="Y46" s="15"/>
    </row>
    <row r="47" spans="2:27" s="13" customFormat="1" ht="20.100000000000001" customHeight="1" thickTop="1" thickBot="1">
      <c r="G47" s="16" t="s">
        <v>41</v>
      </c>
      <c r="H47" s="51">
        <v>200</v>
      </c>
      <c r="I47" s="52">
        <v>100</v>
      </c>
      <c r="J47" s="53"/>
      <c r="K47" s="60"/>
      <c r="L47" s="77"/>
      <c r="M47" s="64"/>
      <c r="N47" s="52">
        <v>100</v>
      </c>
      <c r="O47" s="51"/>
      <c r="P47" s="53"/>
      <c r="Q47" s="53"/>
      <c r="R47" s="52"/>
      <c r="S47" s="69"/>
      <c r="T47" s="70"/>
      <c r="U47" s="71"/>
      <c r="V47" s="47"/>
      <c r="W47" s="47"/>
      <c r="X47" s="15"/>
      <c r="Y47" s="15"/>
    </row>
    <row r="48" spans="2:27" s="13" customFormat="1" ht="20.100000000000001" customHeight="1" thickTop="1" thickBot="1">
      <c r="G48" s="16" t="s">
        <v>325</v>
      </c>
      <c r="H48" s="29"/>
      <c r="I48" s="57">
        <v>100</v>
      </c>
      <c r="J48" s="14"/>
      <c r="K48" s="16"/>
      <c r="L48" s="77"/>
      <c r="M48" s="64"/>
      <c r="N48" s="57">
        <v>50</v>
      </c>
      <c r="O48" s="29"/>
      <c r="P48" s="14"/>
      <c r="Q48" s="14"/>
      <c r="R48" s="57"/>
      <c r="S48" s="69"/>
      <c r="T48" s="70"/>
      <c r="U48" s="71"/>
      <c r="V48" s="47"/>
      <c r="W48" s="47"/>
      <c r="X48" s="15"/>
      <c r="Y48" s="15"/>
    </row>
    <row r="49" spans="2:27" ht="19.5" customHeight="1" thickTop="1" thickBot="1">
      <c r="G49" s="16" t="s">
        <v>153</v>
      </c>
      <c r="H49" s="29">
        <v>100</v>
      </c>
      <c r="I49" s="57">
        <v>100</v>
      </c>
      <c r="J49" s="14"/>
      <c r="K49" s="16"/>
      <c r="L49" s="77"/>
      <c r="M49" s="64"/>
      <c r="N49" s="57">
        <v>100</v>
      </c>
      <c r="O49" s="50"/>
      <c r="P49" s="14"/>
      <c r="Q49" s="5"/>
      <c r="R49" s="21"/>
      <c r="S49" s="69"/>
      <c r="T49" s="70"/>
      <c r="U49" s="71"/>
      <c r="V49" s="27"/>
      <c r="W49" s="27"/>
      <c r="Y49" s="2"/>
      <c r="Z49"/>
      <c r="AA49"/>
    </row>
    <row r="50" spans="2:27" s="13" customFormat="1" ht="20.100000000000001" customHeight="1" thickTop="1" thickBot="1">
      <c r="B50" s="13" t="s">
        <v>51</v>
      </c>
      <c r="G50" s="16" t="s">
        <v>73</v>
      </c>
      <c r="H50" s="51">
        <v>100</v>
      </c>
      <c r="I50" s="52"/>
      <c r="J50" s="53"/>
      <c r="K50" s="60"/>
      <c r="L50" s="77"/>
      <c r="M50" s="64">
        <v>50</v>
      </c>
      <c r="N50" s="52"/>
      <c r="O50" s="51"/>
      <c r="P50" s="53"/>
      <c r="Q50" s="53"/>
      <c r="R50" s="52"/>
      <c r="S50" s="69"/>
      <c r="T50" s="70"/>
      <c r="U50" s="71"/>
      <c r="V50" s="47"/>
      <c r="W50" s="47"/>
      <c r="X50" s="15"/>
      <c r="Y50" s="15"/>
    </row>
    <row r="51" spans="2:27" ht="19.5" customHeight="1" thickTop="1" thickBot="1">
      <c r="G51" s="16"/>
      <c r="H51" s="29"/>
      <c r="I51" s="57"/>
      <c r="J51" s="14"/>
      <c r="K51" s="16"/>
      <c r="L51" s="77"/>
      <c r="M51" s="64"/>
      <c r="N51" s="57"/>
      <c r="O51" s="50"/>
      <c r="P51" s="14"/>
      <c r="Q51" s="5"/>
      <c r="R51" s="21"/>
      <c r="S51" s="69"/>
      <c r="T51" s="70"/>
      <c r="U51" s="71"/>
      <c r="V51" s="47"/>
      <c r="W51" s="47"/>
      <c r="Y51" s="2"/>
      <c r="Z51"/>
      <c r="AA51"/>
    </row>
    <row r="52" spans="2:27" ht="19.5" customHeight="1" thickTop="1" thickBot="1">
      <c r="G52" s="16"/>
      <c r="H52" s="29"/>
      <c r="I52" s="57"/>
      <c r="J52" s="14"/>
      <c r="K52" s="16"/>
      <c r="L52" s="77"/>
      <c r="M52" s="64"/>
      <c r="N52" s="57"/>
      <c r="O52" s="50"/>
      <c r="P52" s="14"/>
      <c r="Q52" s="5"/>
      <c r="R52" s="21"/>
      <c r="S52" s="69"/>
      <c r="T52" s="70"/>
      <c r="U52" s="71"/>
      <c r="V52" s="47"/>
      <c r="W52" s="47"/>
      <c r="Y52" s="2"/>
      <c r="Z52"/>
      <c r="AA52"/>
    </row>
    <row r="53" spans="2:27" ht="19.5" customHeight="1" thickTop="1" thickBot="1">
      <c r="F53" t="s">
        <v>69</v>
      </c>
      <c r="G53" s="16" t="s">
        <v>230</v>
      </c>
      <c r="H53" s="29"/>
      <c r="I53" s="57"/>
      <c r="J53" s="14"/>
      <c r="K53" s="16"/>
      <c r="L53" s="77"/>
      <c r="M53" s="64"/>
      <c r="N53" s="57"/>
      <c r="O53" s="50"/>
      <c r="P53" s="14">
        <v>4</v>
      </c>
      <c r="Q53" s="5"/>
      <c r="R53" s="21"/>
      <c r="S53" s="69"/>
      <c r="T53" s="70"/>
      <c r="U53" s="71"/>
      <c r="V53" s="47"/>
      <c r="W53" s="47"/>
      <c r="Y53" s="2"/>
      <c r="Z53"/>
      <c r="AA53"/>
    </row>
    <row r="54" spans="2:27" ht="19.5" customHeight="1" thickTop="1" thickBot="1">
      <c r="G54" s="16" t="s">
        <v>232</v>
      </c>
      <c r="H54" s="29"/>
      <c r="I54" s="57"/>
      <c r="J54" s="14"/>
      <c r="K54" s="16"/>
      <c r="L54" s="77"/>
      <c r="M54" s="64"/>
      <c r="N54" s="57"/>
      <c r="O54" s="50"/>
      <c r="P54" s="14">
        <v>4</v>
      </c>
      <c r="Q54" s="5"/>
      <c r="R54" s="21"/>
      <c r="S54" s="69"/>
      <c r="T54" s="70"/>
      <c r="U54" s="71"/>
      <c r="V54" s="47"/>
      <c r="W54" s="47"/>
      <c r="Y54" s="2"/>
      <c r="Z54"/>
      <c r="AA54"/>
    </row>
    <row r="55" spans="2:27" ht="19.5" customHeight="1" thickTop="1" thickBot="1">
      <c r="G55" s="16" t="s">
        <v>234</v>
      </c>
      <c r="H55" s="29"/>
      <c r="I55" s="57"/>
      <c r="J55" s="14"/>
      <c r="K55" s="16"/>
      <c r="L55" s="77"/>
      <c r="M55" s="57"/>
      <c r="N55" s="57"/>
      <c r="O55" s="50"/>
      <c r="P55" s="14">
        <v>4</v>
      </c>
      <c r="Q55" s="5"/>
      <c r="R55" s="21"/>
      <c r="S55" s="69"/>
      <c r="T55" s="70"/>
      <c r="U55" s="71"/>
      <c r="V55" s="47"/>
      <c r="W55" s="47"/>
      <c r="Y55" s="2"/>
      <c r="Z55"/>
      <c r="AA55"/>
    </row>
    <row r="56" spans="2:27" ht="19.5" customHeight="1" thickTop="1" thickBot="1">
      <c r="G56" s="16" t="s">
        <v>236</v>
      </c>
      <c r="H56" s="29"/>
      <c r="I56" s="57"/>
      <c r="J56" s="14"/>
      <c r="K56" s="16"/>
      <c r="L56" s="77"/>
      <c r="M56" s="57"/>
      <c r="N56" s="57"/>
      <c r="O56" s="50"/>
      <c r="P56" s="14">
        <v>6</v>
      </c>
      <c r="Q56" s="5"/>
      <c r="R56" s="21"/>
      <c r="S56" s="69"/>
      <c r="T56" s="70"/>
      <c r="U56" s="71"/>
      <c r="V56" s="47"/>
      <c r="W56" s="47"/>
      <c r="Y56" s="2"/>
      <c r="Z56"/>
      <c r="AA56"/>
    </row>
    <row r="57" spans="2:27" ht="19.5" customHeight="1" thickTop="1" thickBot="1">
      <c r="G57" s="117" t="s">
        <v>238</v>
      </c>
      <c r="H57" s="29"/>
      <c r="I57" s="57">
        <v>50</v>
      </c>
      <c r="J57" s="14"/>
      <c r="K57" s="16"/>
      <c r="L57" s="77"/>
      <c r="M57" s="57"/>
      <c r="N57" s="57">
        <v>50</v>
      </c>
      <c r="O57" s="50"/>
      <c r="P57" s="14">
        <v>6</v>
      </c>
      <c r="Q57" s="5"/>
      <c r="R57" s="21"/>
      <c r="S57" s="69"/>
      <c r="T57" s="70"/>
      <c r="U57" s="71"/>
      <c r="V57" s="47"/>
      <c r="W57" s="47"/>
      <c r="Y57" s="2"/>
      <c r="Z57"/>
      <c r="AA57"/>
    </row>
    <row r="58" spans="2:27" ht="19.5" customHeight="1" thickTop="1" thickBot="1">
      <c r="G58" s="117" t="s">
        <v>240</v>
      </c>
      <c r="H58" s="29"/>
      <c r="I58" s="57">
        <v>50</v>
      </c>
      <c r="J58" s="14"/>
      <c r="K58" s="16"/>
      <c r="L58" s="77"/>
      <c r="M58" s="64"/>
      <c r="N58" s="64">
        <v>50</v>
      </c>
      <c r="O58" s="50"/>
      <c r="P58" s="14">
        <v>6</v>
      </c>
      <c r="Q58" s="5"/>
      <c r="R58" s="21"/>
      <c r="S58" s="69"/>
      <c r="T58" s="70"/>
      <c r="U58" s="71"/>
      <c r="V58" s="47"/>
      <c r="W58" s="47"/>
      <c r="Y58" s="2"/>
      <c r="Z58"/>
      <c r="AA58"/>
    </row>
    <row r="59" spans="2:27" ht="19.5" customHeight="1" thickTop="1" thickBot="1">
      <c r="G59" s="117" t="s">
        <v>242</v>
      </c>
      <c r="H59" s="29"/>
      <c r="I59" s="57">
        <v>50</v>
      </c>
      <c r="J59" s="14"/>
      <c r="K59" s="16"/>
      <c r="L59" s="77"/>
      <c r="M59" s="64"/>
      <c r="N59" s="64">
        <v>50</v>
      </c>
      <c r="O59" s="50"/>
      <c r="P59" s="14">
        <v>6</v>
      </c>
      <c r="Q59" s="5"/>
      <c r="R59" s="21"/>
      <c r="S59" s="69"/>
      <c r="T59" s="70"/>
      <c r="U59" s="71"/>
      <c r="V59" s="47"/>
      <c r="W59" s="47"/>
      <c r="Y59" s="2"/>
      <c r="Z59"/>
      <c r="AA59"/>
    </row>
    <row r="60" spans="2:27" ht="19.5" customHeight="1" thickTop="1" thickBot="1">
      <c r="G60" s="117" t="s">
        <v>244</v>
      </c>
      <c r="H60" s="29"/>
      <c r="I60" s="57">
        <v>50</v>
      </c>
      <c r="J60" s="14"/>
      <c r="K60" s="16"/>
      <c r="L60" s="77"/>
      <c r="M60" s="64"/>
      <c r="N60" s="64">
        <v>50</v>
      </c>
      <c r="O60" s="50"/>
      <c r="P60" s="14">
        <v>6</v>
      </c>
      <c r="Q60" s="5"/>
      <c r="R60" s="21"/>
      <c r="S60" s="69"/>
      <c r="T60" s="70"/>
      <c r="U60" s="71"/>
      <c r="V60" s="47"/>
      <c r="W60" s="47"/>
      <c r="Y60" s="2"/>
      <c r="Z60"/>
      <c r="AA60"/>
    </row>
    <row r="61" spans="2:27" ht="19.5" customHeight="1" thickTop="1" thickBot="1">
      <c r="G61" s="117" t="s">
        <v>246</v>
      </c>
      <c r="H61" s="29"/>
      <c r="I61" s="57"/>
      <c r="J61" s="14"/>
      <c r="K61" s="16"/>
      <c r="L61" s="77"/>
      <c r="M61" s="64"/>
      <c r="N61" s="57"/>
      <c r="O61" s="50"/>
      <c r="P61" s="14">
        <v>6</v>
      </c>
      <c r="Q61" s="5"/>
      <c r="R61" s="21"/>
      <c r="S61" s="69"/>
      <c r="T61" s="70"/>
      <c r="U61" s="71"/>
      <c r="V61" s="47"/>
      <c r="W61" s="47"/>
      <c r="Y61" s="2"/>
      <c r="Z61"/>
      <c r="AA61"/>
    </row>
    <row r="62" spans="2:27" ht="19.5" customHeight="1" thickTop="1" thickBot="1">
      <c r="G62" s="117" t="s">
        <v>248</v>
      </c>
      <c r="H62" s="29"/>
      <c r="I62" s="29">
        <v>50</v>
      </c>
      <c r="J62" s="14"/>
      <c r="K62" s="16"/>
      <c r="L62" s="77"/>
      <c r="M62" s="57"/>
      <c r="N62" s="57">
        <v>50</v>
      </c>
      <c r="O62" s="50"/>
      <c r="P62" s="14"/>
      <c r="Q62" s="5"/>
      <c r="R62" s="21"/>
      <c r="S62" s="69"/>
      <c r="T62" s="70"/>
      <c r="U62" s="71"/>
      <c r="V62" s="47"/>
      <c r="W62" s="47"/>
      <c r="Y62" s="2"/>
      <c r="Z62"/>
      <c r="AA62"/>
    </row>
    <row r="63" spans="2:27" ht="19.5" customHeight="1" thickTop="1" thickBot="1">
      <c r="G63" s="117" t="s">
        <v>250</v>
      </c>
      <c r="H63" s="29"/>
      <c r="I63" s="29">
        <v>50</v>
      </c>
      <c r="J63" s="14"/>
      <c r="K63" s="16"/>
      <c r="L63" s="77"/>
      <c r="M63" s="57"/>
      <c r="N63" s="57">
        <v>50</v>
      </c>
      <c r="O63" s="50"/>
      <c r="P63" s="14">
        <v>6</v>
      </c>
      <c r="Q63" s="5"/>
      <c r="R63" s="21"/>
      <c r="S63" s="69"/>
      <c r="T63" s="70"/>
      <c r="U63" s="71"/>
      <c r="V63" s="47"/>
      <c r="W63" s="47"/>
      <c r="Y63" s="2"/>
      <c r="Z63"/>
      <c r="AA63"/>
    </row>
    <row r="64" spans="2:27" ht="19.5" customHeight="1" thickTop="1" thickBot="1">
      <c r="G64" s="117" t="s">
        <v>252</v>
      </c>
      <c r="H64" s="29"/>
      <c r="I64" s="29">
        <v>50</v>
      </c>
      <c r="J64" s="14"/>
      <c r="K64" s="16"/>
      <c r="L64" s="77"/>
      <c r="M64" s="57"/>
      <c r="N64" s="57">
        <v>50</v>
      </c>
      <c r="O64" s="50"/>
      <c r="P64" s="14"/>
      <c r="Q64" s="5"/>
      <c r="R64" s="21"/>
      <c r="S64" s="69"/>
      <c r="T64" s="70"/>
      <c r="U64" s="71"/>
      <c r="V64" s="47"/>
      <c r="W64" s="47"/>
      <c r="Y64" s="2"/>
      <c r="Z64"/>
      <c r="AA64"/>
    </row>
    <row r="65" spans="6:27" ht="18" customHeight="1" thickTop="1" thickBot="1">
      <c r="G65" s="16"/>
      <c r="H65" s="29"/>
      <c r="I65" s="57"/>
      <c r="J65" s="14"/>
      <c r="K65" s="16"/>
      <c r="L65" s="77"/>
      <c r="M65" s="64"/>
      <c r="N65" s="57"/>
      <c r="O65" s="50"/>
      <c r="P65" s="14"/>
      <c r="Q65" s="5"/>
      <c r="R65" s="21"/>
      <c r="S65" s="69"/>
      <c r="T65" s="70"/>
      <c r="U65" s="71"/>
      <c r="V65" s="47"/>
      <c r="W65" s="47"/>
      <c r="Y65" s="2"/>
      <c r="Z65"/>
      <c r="AA65"/>
    </row>
    <row r="66" spans="6:27" ht="18" customHeight="1" thickTop="1" thickBot="1">
      <c r="F66" s="13" t="s">
        <v>191</v>
      </c>
      <c r="G66" s="16" t="s">
        <v>180</v>
      </c>
      <c r="H66" s="29">
        <v>300</v>
      </c>
      <c r="I66" s="57"/>
      <c r="J66" s="14"/>
      <c r="K66" s="16"/>
      <c r="L66" s="77"/>
      <c r="M66" s="64"/>
      <c r="N66" s="57">
        <v>150</v>
      </c>
      <c r="O66" s="50"/>
      <c r="P66" s="53">
        <v>10</v>
      </c>
      <c r="Q66" s="5"/>
      <c r="R66" s="21"/>
      <c r="S66" s="69"/>
      <c r="T66" s="70"/>
      <c r="U66" s="71"/>
      <c r="V66" s="47"/>
      <c r="W66" s="47"/>
      <c r="Y66" s="2"/>
      <c r="Z66"/>
      <c r="AA66"/>
    </row>
    <row r="67" spans="6:27" ht="18" customHeight="1" thickTop="1" thickBot="1">
      <c r="F67" s="13"/>
      <c r="G67" s="16" t="s">
        <v>203</v>
      </c>
      <c r="H67" s="29">
        <v>200</v>
      </c>
      <c r="I67" s="57"/>
      <c r="J67" s="14"/>
      <c r="K67" s="16"/>
      <c r="L67" s="77"/>
      <c r="M67" s="64"/>
      <c r="N67" s="57">
        <v>150</v>
      </c>
      <c r="O67" s="50"/>
      <c r="P67" s="53">
        <v>5</v>
      </c>
      <c r="Q67" s="5"/>
      <c r="R67" s="21"/>
      <c r="S67" s="69"/>
      <c r="T67" s="70"/>
      <c r="U67" s="71"/>
      <c r="V67" s="47"/>
      <c r="W67" s="47"/>
      <c r="Y67" s="2"/>
      <c r="Z67"/>
      <c r="AA67"/>
    </row>
    <row r="68" spans="6:27" ht="18" customHeight="1" thickTop="1" thickBot="1">
      <c r="F68" s="13"/>
      <c r="G68" s="16" t="s">
        <v>205</v>
      </c>
      <c r="H68" s="29"/>
      <c r="I68" s="57"/>
      <c r="J68" s="14"/>
      <c r="K68" s="16"/>
      <c r="L68" s="77"/>
      <c r="M68" s="64"/>
      <c r="N68" s="57"/>
      <c r="O68" s="50"/>
      <c r="P68" s="53"/>
      <c r="Q68" s="5"/>
      <c r="R68" s="21"/>
      <c r="S68" s="69"/>
      <c r="T68" s="70"/>
      <c r="U68" s="71"/>
      <c r="V68" s="47"/>
      <c r="W68" s="47"/>
      <c r="Y68" s="2"/>
      <c r="Z68"/>
      <c r="AA68"/>
    </row>
    <row r="69" spans="6:27" ht="18" customHeight="1" thickTop="1" thickBot="1">
      <c r="F69" s="13"/>
      <c r="G69" s="16" t="s">
        <v>207</v>
      </c>
      <c r="H69" s="29"/>
      <c r="I69" s="57"/>
      <c r="J69" s="14"/>
      <c r="K69" s="16"/>
      <c r="L69" s="77"/>
      <c r="M69" s="64"/>
      <c r="N69" s="57"/>
      <c r="O69" s="50"/>
      <c r="P69" s="53"/>
      <c r="Q69" s="5"/>
      <c r="R69" s="21"/>
      <c r="S69" s="69"/>
      <c r="T69" s="70"/>
      <c r="U69" s="71"/>
      <c r="V69" s="47"/>
      <c r="W69" s="47"/>
      <c r="Y69" s="2"/>
      <c r="Z69"/>
      <c r="AA69"/>
    </row>
    <row r="70" spans="6:27" ht="18" customHeight="1" thickTop="1" thickBot="1">
      <c r="F70" s="13"/>
      <c r="G70" s="16" t="s">
        <v>209</v>
      </c>
      <c r="H70" s="29">
        <v>300</v>
      </c>
      <c r="I70" s="57">
        <v>100</v>
      </c>
      <c r="J70" s="14"/>
      <c r="K70" s="16"/>
      <c r="L70" s="77"/>
      <c r="M70" s="64"/>
      <c r="N70" s="57">
        <v>150</v>
      </c>
      <c r="O70" s="50"/>
      <c r="P70" s="14">
        <v>10</v>
      </c>
      <c r="Q70" s="5"/>
      <c r="R70" s="21"/>
      <c r="S70" s="69"/>
      <c r="T70" s="70"/>
      <c r="U70" s="71"/>
      <c r="V70" s="47"/>
      <c r="W70" s="47"/>
      <c r="Y70" s="2"/>
      <c r="Z70"/>
      <c r="AA70"/>
    </row>
    <row r="71" spans="6:27" ht="18" customHeight="1" thickTop="1" thickBot="1">
      <c r="G71" s="16"/>
      <c r="H71" s="29"/>
      <c r="I71" s="57"/>
      <c r="J71" s="14"/>
      <c r="K71" s="16"/>
      <c r="L71" s="77"/>
      <c r="M71" s="64"/>
      <c r="N71" s="57"/>
      <c r="O71" s="50"/>
      <c r="P71" s="14"/>
      <c r="Q71" s="5"/>
      <c r="R71" s="21"/>
      <c r="S71" s="69"/>
      <c r="T71" s="70"/>
      <c r="U71" s="71"/>
      <c r="V71" s="47"/>
      <c r="W71" s="47"/>
      <c r="Y71" s="2"/>
      <c r="Z71"/>
      <c r="AA71"/>
    </row>
    <row r="72" spans="6:27" ht="19.5" customHeight="1" thickTop="1" thickBot="1">
      <c r="G72" s="16" t="s">
        <v>21</v>
      </c>
      <c r="H72" s="29">
        <v>600</v>
      </c>
      <c r="I72" s="57">
        <v>400</v>
      </c>
      <c r="J72" s="14"/>
      <c r="K72" s="16"/>
      <c r="L72" s="77">
        <v>200</v>
      </c>
      <c r="M72" s="64"/>
      <c r="N72" s="57">
        <v>300</v>
      </c>
      <c r="O72" s="50"/>
      <c r="P72" s="14"/>
      <c r="Q72" s="5"/>
      <c r="R72" s="21"/>
      <c r="S72" s="69"/>
      <c r="T72" s="70"/>
      <c r="U72" s="71"/>
      <c r="V72" s="47"/>
      <c r="W72" s="47"/>
      <c r="Y72" s="2"/>
      <c r="Z72"/>
      <c r="AA72"/>
    </row>
    <row r="73" spans="6:27" ht="18" customHeight="1" thickTop="1" thickBot="1">
      <c r="G73" s="16"/>
      <c r="H73" s="29"/>
      <c r="I73" s="57"/>
      <c r="J73" s="14"/>
      <c r="K73" s="16"/>
      <c r="L73" s="77"/>
      <c r="M73" s="64"/>
      <c r="N73" s="57"/>
      <c r="O73" s="50"/>
      <c r="P73" s="14"/>
      <c r="Q73" s="5"/>
      <c r="R73" s="21"/>
      <c r="S73" s="69"/>
      <c r="T73" s="70"/>
      <c r="U73" s="71"/>
      <c r="V73" s="47"/>
      <c r="W73" s="47"/>
      <c r="Y73" s="2"/>
      <c r="Z73"/>
      <c r="AA73"/>
    </row>
    <row r="74" spans="6:27" ht="19.5" customHeight="1" thickTop="1" thickBot="1">
      <c r="G74" s="16"/>
      <c r="H74" s="29"/>
      <c r="I74" s="57"/>
      <c r="J74" s="14"/>
      <c r="K74" s="16"/>
      <c r="L74" s="77"/>
      <c r="M74" s="64"/>
      <c r="N74" s="57"/>
      <c r="O74" s="50"/>
      <c r="P74" s="14"/>
      <c r="Q74" s="5"/>
      <c r="R74" s="21"/>
      <c r="S74" s="69"/>
      <c r="T74" s="70"/>
      <c r="U74" s="71"/>
      <c r="V74" s="47"/>
      <c r="W74" s="47"/>
      <c r="Y74" s="2"/>
      <c r="Z74"/>
      <c r="AA74"/>
    </row>
    <row r="75" spans="6:27" ht="19.5" customHeight="1" thickTop="1" thickBot="1">
      <c r="G75" s="16" t="s">
        <v>70</v>
      </c>
      <c r="H75" s="29"/>
      <c r="I75" s="57"/>
      <c r="J75" s="14"/>
      <c r="K75" s="16"/>
      <c r="L75" s="77"/>
      <c r="M75" s="64"/>
      <c r="N75" s="57"/>
      <c r="O75" s="29"/>
      <c r="P75" s="14"/>
      <c r="Q75" s="5"/>
      <c r="R75" s="21"/>
      <c r="S75" s="69"/>
      <c r="T75" s="70"/>
      <c r="U75" s="71"/>
      <c r="V75" s="47"/>
      <c r="W75" s="47"/>
      <c r="Y75" s="2"/>
      <c r="Z75"/>
      <c r="AA75"/>
    </row>
    <row r="76" spans="6:27" ht="19.5" customHeight="1" thickTop="1" thickBot="1">
      <c r="G76" s="16"/>
      <c r="H76" s="29"/>
      <c r="I76" s="57"/>
      <c r="J76" s="14"/>
      <c r="K76" s="16"/>
      <c r="L76" s="77"/>
      <c r="M76" s="64"/>
      <c r="N76" s="57"/>
      <c r="O76" s="50"/>
      <c r="P76" s="14"/>
      <c r="Q76" s="5"/>
      <c r="R76" s="21"/>
      <c r="S76" s="69"/>
      <c r="T76" s="70"/>
      <c r="U76" s="71"/>
      <c r="V76" s="47"/>
      <c r="W76" s="47"/>
      <c r="Y76" s="2"/>
      <c r="Z76"/>
      <c r="AA76"/>
    </row>
    <row r="77" spans="6:27" s="13" customFormat="1" ht="20.100000000000001" customHeight="1" thickTop="1" thickBot="1">
      <c r="G77" s="16"/>
      <c r="H77" s="51"/>
      <c r="I77" s="52"/>
      <c r="J77" s="53"/>
      <c r="K77" s="60"/>
      <c r="L77" s="77"/>
      <c r="M77" s="64"/>
      <c r="N77" s="52"/>
      <c r="O77" s="51"/>
      <c r="P77" s="53"/>
      <c r="Q77" s="53"/>
      <c r="R77" s="52"/>
      <c r="S77" s="69"/>
      <c r="T77" s="70"/>
      <c r="U77" s="71"/>
      <c r="V77" s="47"/>
      <c r="W77" s="47"/>
      <c r="X77" s="15"/>
      <c r="Y77" s="15"/>
    </row>
    <row r="78" spans="6:27" s="13" customFormat="1" ht="20.100000000000001" customHeight="1" thickTop="1" thickBot="1">
      <c r="G78" s="16"/>
      <c r="H78" s="51"/>
      <c r="I78" s="52"/>
      <c r="J78" s="53"/>
      <c r="K78" s="60"/>
      <c r="L78" s="77"/>
      <c r="M78" s="64"/>
      <c r="N78" s="52"/>
      <c r="O78" s="51"/>
      <c r="P78" s="53"/>
      <c r="Q78" s="53"/>
      <c r="R78" s="52"/>
      <c r="S78" s="69"/>
      <c r="T78" s="70"/>
      <c r="U78" s="71"/>
      <c r="V78" s="47"/>
      <c r="W78" s="47"/>
      <c r="X78" s="15"/>
      <c r="Y78" s="15"/>
    </row>
    <row r="79" spans="6:27" s="13" customFormat="1" ht="20.100000000000001" customHeight="1" thickTop="1" thickBot="1">
      <c r="G79" s="16"/>
      <c r="H79" s="51">
        <f t="shared" ref="H79:N79" si="0">SUM(H32:H77)</f>
        <v>4400</v>
      </c>
      <c r="I79" s="51">
        <f t="shared" si="0"/>
        <v>1550</v>
      </c>
      <c r="J79" s="51">
        <f t="shared" si="0"/>
        <v>0</v>
      </c>
      <c r="K79" s="51">
        <f t="shared" si="0"/>
        <v>0</v>
      </c>
      <c r="L79" s="51">
        <f t="shared" si="0"/>
        <v>1200</v>
      </c>
      <c r="M79" s="51">
        <f t="shared" si="0"/>
        <v>250</v>
      </c>
      <c r="N79" s="51">
        <f t="shared" si="0"/>
        <v>2500</v>
      </c>
      <c r="O79" s="51">
        <f>SUM(O31:O78)</f>
        <v>0</v>
      </c>
      <c r="P79" s="53"/>
      <c r="Q79" s="53"/>
      <c r="R79" s="52"/>
      <c r="S79" s="69"/>
      <c r="T79" s="70"/>
      <c r="U79" s="71"/>
      <c r="V79" s="47"/>
      <c r="W79" s="47"/>
      <c r="X79" s="15"/>
      <c r="Y79" s="15"/>
    </row>
    <row r="80" spans="6:27" ht="19.5" customHeight="1" thickTop="1" thickBot="1">
      <c r="G80" s="16"/>
      <c r="H80" s="20"/>
      <c r="I80" s="21"/>
      <c r="J80" s="5"/>
      <c r="K80" s="61"/>
      <c r="L80" s="77"/>
      <c r="M80" s="65"/>
      <c r="N80" s="21"/>
      <c r="O80" s="50"/>
      <c r="P80" s="14"/>
      <c r="Q80" s="5"/>
      <c r="R80" s="21"/>
      <c r="S80" s="69"/>
      <c r="T80" s="70"/>
      <c r="U80" s="71"/>
      <c r="V80" s="27"/>
      <c r="W80" s="27"/>
      <c r="Y80" s="2"/>
      <c r="Z80"/>
      <c r="AA80"/>
    </row>
    <row r="81" spans="1:25" s="13" customFormat="1" ht="20.100000000000001" customHeight="1" thickTop="1" thickBot="1">
      <c r="G81" s="16"/>
      <c r="H81" s="51"/>
      <c r="I81" s="52"/>
      <c r="J81" s="53"/>
      <c r="K81" s="60"/>
      <c r="L81" s="77"/>
      <c r="M81" s="64"/>
      <c r="N81" s="52"/>
      <c r="O81" s="51"/>
      <c r="P81" s="53"/>
      <c r="Q81" s="53"/>
      <c r="R81" s="52"/>
      <c r="S81" s="69"/>
      <c r="T81" s="70"/>
      <c r="U81" s="71"/>
      <c r="V81" s="47"/>
      <c r="W81" s="47"/>
      <c r="X81" s="15"/>
      <c r="Y81" s="15"/>
    </row>
    <row r="82" spans="1:25" s="2" customFormat="1" ht="17.25" thickTop="1">
      <c r="A82"/>
      <c r="B82"/>
      <c r="C82"/>
      <c r="D82"/>
      <c r="E82"/>
      <c r="F82"/>
      <c r="P82" s="15"/>
      <c r="Y82" s="15"/>
    </row>
    <row r="84" spans="1:25" s="2" customFormat="1">
      <c r="A84"/>
      <c r="B84"/>
      <c r="C84"/>
      <c r="D84"/>
      <c r="E84"/>
      <c r="F84"/>
      <c r="P84" s="15"/>
      <c r="Y84" s="15"/>
    </row>
    <row r="85" spans="1:25" s="2" customFormat="1">
      <c r="A85"/>
      <c r="B85"/>
      <c r="C85"/>
      <c r="D85"/>
      <c r="E85"/>
      <c r="F85"/>
      <c r="P85" s="15"/>
      <c r="Y85" s="15"/>
    </row>
    <row r="86" spans="1:25" s="2" customFormat="1">
      <c r="A86"/>
      <c r="B86"/>
      <c r="C86"/>
      <c r="D86"/>
      <c r="E86"/>
      <c r="F86"/>
      <c r="P86" s="15"/>
      <c r="Y86" s="15"/>
    </row>
    <row r="87" spans="1:25" s="2" customFormat="1">
      <c r="A87"/>
      <c r="B87"/>
      <c r="C87"/>
      <c r="D87"/>
      <c r="E87"/>
      <c r="F87"/>
      <c r="P87" s="15"/>
      <c r="Y87" s="15"/>
    </row>
    <row r="88" spans="1:25" s="2" customFormat="1">
      <c r="A88"/>
      <c r="B88"/>
      <c r="C88"/>
      <c r="D88"/>
      <c r="E88"/>
      <c r="F88"/>
      <c r="P88" s="15"/>
      <c r="Y88" s="15"/>
    </row>
    <row r="89" spans="1:25" s="2" customFormat="1">
      <c r="A89"/>
      <c r="B89"/>
      <c r="C89"/>
      <c r="D89"/>
      <c r="E89"/>
      <c r="F89"/>
      <c r="P89" s="15"/>
      <c r="Y89" s="15"/>
    </row>
    <row r="90" spans="1:25" s="2" customFormat="1">
      <c r="A90"/>
      <c r="B90"/>
      <c r="C90"/>
      <c r="D90"/>
      <c r="E90"/>
      <c r="F90"/>
      <c r="P90" s="15"/>
      <c r="Y90" s="15"/>
    </row>
    <row r="91" spans="1:25" s="2" customFormat="1">
      <c r="A91"/>
      <c r="B91"/>
      <c r="C91"/>
      <c r="D91"/>
      <c r="E91"/>
      <c r="F91"/>
      <c r="P91" s="15"/>
      <c r="Y91" s="15"/>
    </row>
    <row r="92" spans="1:25" s="2" customFormat="1">
      <c r="A92"/>
      <c r="B92"/>
      <c r="C92"/>
      <c r="D92"/>
      <c r="E92"/>
      <c r="F92"/>
      <c r="P92" s="15"/>
      <c r="Y92" s="15"/>
    </row>
    <row r="93" spans="1:25" s="2" customFormat="1">
      <c r="A93"/>
      <c r="B93"/>
      <c r="C93"/>
      <c r="D93"/>
      <c r="E93"/>
      <c r="F93"/>
      <c r="P93" s="15"/>
      <c r="Y93" s="15"/>
    </row>
    <row r="94" spans="1:25" s="2" customFormat="1">
      <c r="A94"/>
      <c r="B94"/>
      <c r="C94"/>
      <c r="D94"/>
      <c r="E94"/>
      <c r="F94"/>
      <c r="G94" s="15" t="s">
        <v>125</v>
      </c>
      <c r="J94" s="2">
        <f>X94/1.1</f>
        <v>58799.999999999993</v>
      </c>
      <c r="K94" s="40"/>
      <c r="L94" s="15"/>
      <c r="P94" s="15"/>
      <c r="X94" s="15">
        <v>64680</v>
      </c>
      <c r="Y94" s="15"/>
    </row>
    <row r="95" spans="1:25" s="2" customFormat="1">
      <c r="A95"/>
      <c r="B95"/>
      <c r="C95"/>
      <c r="D95"/>
      <c r="E95"/>
      <c r="F95"/>
      <c r="G95" s="15" t="s">
        <v>49</v>
      </c>
      <c r="K95" s="40"/>
      <c r="L95" s="15"/>
      <c r="P95" s="15"/>
      <c r="Q95" s="15" t="s">
        <v>174</v>
      </c>
      <c r="X95" s="15"/>
      <c r="Y95" s="15"/>
    </row>
    <row r="97" spans="1:25" s="2" customFormat="1">
      <c r="A97"/>
      <c r="B97"/>
      <c r="C97"/>
      <c r="D97"/>
      <c r="E97"/>
      <c r="F97"/>
      <c r="G97" s="15"/>
      <c r="L97" s="15"/>
      <c r="P97" s="15"/>
      <c r="X97" s="15"/>
      <c r="Y97" s="15"/>
    </row>
    <row r="98" spans="1:25" s="2" customFormat="1">
      <c r="A98"/>
      <c r="B98"/>
      <c r="C98"/>
      <c r="D98"/>
      <c r="E98"/>
      <c r="F98"/>
      <c r="G98" s="15" t="s">
        <v>134</v>
      </c>
      <c r="L98" s="15"/>
      <c r="P98" s="15"/>
      <c r="X98" s="15"/>
      <c r="Y98" s="15"/>
    </row>
    <row r="99" spans="1:25" s="2" customFormat="1">
      <c r="A99"/>
      <c r="B99"/>
      <c r="C99"/>
      <c r="D99"/>
      <c r="E99"/>
      <c r="F99"/>
      <c r="G99" s="15" t="s">
        <v>135</v>
      </c>
      <c r="L99" s="15"/>
      <c r="P99" s="15"/>
      <c r="X99" s="15"/>
      <c r="Y99" s="15"/>
    </row>
    <row r="100" spans="1:25" s="2" customFormat="1">
      <c r="A100"/>
      <c r="B100"/>
      <c r="C100"/>
      <c r="D100"/>
      <c r="E100"/>
      <c r="F100"/>
      <c r="G100" s="15"/>
      <c r="J100" s="40"/>
      <c r="L100" s="15"/>
      <c r="P100" s="15"/>
      <c r="X100" s="15"/>
      <c r="Y100" s="15"/>
    </row>
    <row r="101" spans="1:25" s="2" customFormat="1">
      <c r="A101"/>
      <c r="B101"/>
      <c r="C101"/>
      <c r="D101"/>
      <c r="E101"/>
      <c r="F101"/>
      <c r="G101" s="15" t="s">
        <v>69</v>
      </c>
      <c r="L101" s="15"/>
      <c r="P101" s="15"/>
      <c r="X101" s="15"/>
      <c r="Y101" s="15"/>
    </row>
    <row r="102" spans="1:25" s="2" customFormat="1">
      <c r="A102"/>
      <c r="B102"/>
      <c r="C102"/>
      <c r="D102"/>
      <c r="E102"/>
      <c r="F102"/>
      <c r="G102" s="15"/>
      <c r="J102" s="41"/>
      <c r="L102" s="15"/>
      <c r="P102" s="15"/>
      <c r="X102" s="15"/>
      <c r="Y102" s="15"/>
    </row>
    <row r="103" spans="1:25" s="2" customFormat="1">
      <c r="A103"/>
      <c r="B103"/>
      <c r="C103"/>
      <c r="D103"/>
      <c r="E103"/>
      <c r="F103"/>
      <c r="G103" s="15"/>
      <c r="L103" s="15"/>
      <c r="P103" s="15"/>
      <c r="X103" s="15"/>
      <c r="Y103" s="15"/>
    </row>
    <row r="104" spans="1:25" s="2" customFormat="1">
      <c r="A104"/>
      <c r="B104"/>
      <c r="C104"/>
      <c r="D104"/>
      <c r="E104"/>
      <c r="F104"/>
      <c r="G104" s="15" t="s">
        <v>133</v>
      </c>
      <c r="L104" s="15"/>
      <c r="P104" s="15"/>
      <c r="X104" s="15"/>
      <c r="Y104" s="15"/>
    </row>
    <row r="105" spans="1:25" s="2" customFormat="1">
      <c r="A105"/>
      <c r="B105"/>
      <c r="C105"/>
      <c r="D105"/>
      <c r="E105"/>
      <c r="F105"/>
      <c r="G105" s="15" t="s">
        <v>131</v>
      </c>
      <c r="L105" s="15"/>
      <c r="P105" s="15"/>
      <c r="X105" s="15"/>
      <c r="Y105" s="15"/>
    </row>
    <row r="106" spans="1:25" s="2" customFormat="1">
      <c r="A106"/>
      <c r="B106"/>
      <c r="C106"/>
      <c r="D106"/>
      <c r="E106"/>
      <c r="F106"/>
      <c r="G106" s="15" t="s">
        <v>132</v>
      </c>
      <c r="L106" s="15"/>
      <c r="P106" s="15"/>
      <c r="X106" s="15"/>
      <c r="Y106" s="15"/>
    </row>
    <row r="107" spans="1:25" s="2" customFormat="1">
      <c r="A107"/>
      <c r="B107"/>
      <c r="C107"/>
      <c r="D107"/>
      <c r="E107"/>
      <c r="F107"/>
      <c r="G107" s="15"/>
      <c r="J107" s="42"/>
      <c r="L107" s="15"/>
      <c r="P107" s="15"/>
      <c r="X107" s="15"/>
      <c r="Y107" s="15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6ACD-E594-45C3-8063-F040FA06D9E1}">
  <dimension ref="A1:AA108"/>
  <sheetViews>
    <sheetView topLeftCell="D1" zoomScale="85" zoomScaleNormal="85" workbookViewId="0">
      <pane ySplit="3" topLeftCell="A37" activePane="bottomLeft" state="frozen"/>
      <selection activeCell="D1" sqref="D1"/>
      <selection pane="bottomLeft" activeCell="G54" sqref="G54:P65"/>
    </sheetView>
  </sheetViews>
  <sheetFormatPr defaultRowHeight="16.5"/>
  <cols>
    <col min="2" max="2" width="6" customWidth="1"/>
    <col min="3" max="4" width="4.5" customWidth="1"/>
    <col min="5" max="5" width="7.375" bestFit="1" customWidth="1"/>
    <col min="6" max="6" width="9.875" customWidth="1"/>
    <col min="7" max="7" width="15.125" style="15" bestFit="1" customWidth="1"/>
    <col min="8" max="9" width="9" customWidth="1"/>
    <col min="10" max="10" width="14" style="2" customWidth="1"/>
    <col min="11" max="11" width="10.875" style="2" customWidth="1"/>
    <col min="12" max="12" width="8.875" style="15" customWidth="1"/>
    <col min="13" max="13" width="13.5" style="2" customWidth="1"/>
    <col min="14" max="14" width="9.25" style="2" customWidth="1"/>
    <col min="15" max="15" width="10" style="2" bestFit="1" customWidth="1"/>
    <col min="16" max="16" width="8.25" style="2" bestFit="1" customWidth="1"/>
    <col min="17" max="20" width="9" style="2"/>
    <col min="21" max="21" width="12.25" style="2" customWidth="1"/>
    <col min="22" max="22" width="9" style="2" customWidth="1"/>
    <col min="23" max="23" width="9" style="2"/>
    <col min="24" max="25" width="15.125" style="15" customWidth="1"/>
    <col min="26" max="26" width="9" style="2" customWidth="1"/>
    <col min="27" max="27" width="9" style="2"/>
  </cols>
  <sheetData>
    <row r="1" spans="1:27">
      <c r="H1" s="2"/>
      <c r="I1" s="2"/>
      <c r="V1" s="15"/>
      <c r="W1" s="15"/>
      <c r="X1" s="2"/>
      <c r="Y1" s="2"/>
      <c r="Z1"/>
      <c r="AA1"/>
    </row>
    <row r="2" spans="1:27" ht="17.25" thickBot="1">
      <c r="H2" s="2"/>
      <c r="I2" s="2"/>
      <c r="V2" s="15"/>
      <c r="W2" s="15"/>
      <c r="X2" s="2"/>
      <c r="Y2" s="2"/>
      <c r="Z2"/>
      <c r="AA2"/>
    </row>
    <row r="3" spans="1:27" s="13" customFormat="1" ht="23.25" customHeight="1" thickBot="1">
      <c r="A3" s="13" t="s">
        <v>46</v>
      </c>
      <c r="E3" s="115" t="s">
        <v>200</v>
      </c>
      <c r="F3" s="114"/>
      <c r="G3" s="59" t="s">
        <v>198</v>
      </c>
      <c r="H3" s="17" t="s">
        <v>75</v>
      </c>
      <c r="I3" s="19" t="s">
        <v>300</v>
      </c>
      <c r="J3" s="18" t="s">
        <v>72</v>
      </c>
      <c r="K3" s="59" t="s">
        <v>74</v>
      </c>
      <c r="L3" s="76" t="s">
        <v>190</v>
      </c>
      <c r="M3" s="62" t="s">
        <v>156</v>
      </c>
      <c r="N3" s="19" t="s">
        <v>121</v>
      </c>
      <c r="O3" s="54" t="s">
        <v>54</v>
      </c>
      <c r="P3" s="55" t="s">
        <v>116</v>
      </c>
      <c r="Q3" s="55" t="s">
        <v>189</v>
      </c>
      <c r="R3" s="56" t="s">
        <v>53</v>
      </c>
      <c r="S3" s="66" t="s">
        <v>195</v>
      </c>
      <c r="T3" s="67" t="s">
        <v>196</v>
      </c>
      <c r="U3" s="68" t="s">
        <v>197</v>
      </c>
      <c r="V3" s="75" t="s">
        <v>159</v>
      </c>
      <c r="W3" s="75" t="s">
        <v>11</v>
      </c>
      <c r="X3" s="19" t="s">
        <v>199</v>
      </c>
      <c r="Y3" s="15"/>
    </row>
    <row r="4" spans="1:27" s="13" customFormat="1" ht="20.100000000000001" customHeight="1" thickTop="1" thickBot="1">
      <c r="E4" s="116"/>
      <c r="F4" s="13" t="s">
        <v>192</v>
      </c>
      <c r="G4" s="16" t="s">
        <v>0</v>
      </c>
      <c r="H4" s="51">
        <v>400</v>
      </c>
      <c r="I4" s="52"/>
      <c r="J4" s="53">
        <v>100</v>
      </c>
      <c r="K4" s="60"/>
      <c r="L4" s="77">
        <v>100</v>
      </c>
      <c r="M4" s="63">
        <v>100</v>
      </c>
      <c r="N4" s="52">
        <v>150</v>
      </c>
      <c r="O4" s="51"/>
      <c r="P4" s="53"/>
      <c r="Q4" s="53"/>
      <c r="R4" s="52"/>
      <c r="S4" s="69"/>
      <c r="T4" s="70"/>
      <c r="U4" s="71"/>
      <c r="V4" s="47"/>
      <c r="W4" s="47"/>
      <c r="X4" s="58"/>
      <c r="Y4" s="15"/>
    </row>
    <row r="5" spans="1:27" s="13" customFormat="1" ht="20.100000000000001" customHeight="1" thickTop="1" thickBot="1">
      <c r="E5" s="116"/>
      <c r="G5" s="16" t="s">
        <v>8</v>
      </c>
      <c r="H5" s="51">
        <v>100</v>
      </c>
      <c r="I5" s="52"/>
      <c r="J5" s="53"/>
      <c r="K5" s="60"/>
      <c r="L5" s="77"/>
      <c r="M5" s="64"/>
      <c r="N5" s="52">
        <v>100</v>
      </c>
      <c r="O5" s="51"/>
      <c r="P5" s="53"/>
      <c r="Q5" s="53"/>
      <c r="R5" s="52"/>
      <c r="S5" s="69"/>
      <c r="T5" s="70"/>
      <c r="U5" s="71"/>
      <c r="V5" s="47"/>
      <c r="W5" s="47"/>
      <c r="X5" s="58"/>
      <c r="Y5" s="15"/>
    </row>
    <row r="6" spans="1:27" s="13" customFormat="1" ht="20.100000000000001" customHeight="1" thickTop="1" thickBot="1">
      <c r="E6" s="116"/>
      <c r="G6" s="16"/>
      <c r="H6" s="29"/>
      <c r="I6" s="57"/>
      <c r="J6" s="14"/>
      <c r="K6" s="16"/>
      <c r="L6" s="77"/>
      <c r="M6" s="64"/>
      <c r="N6" s="57"/>
      <c r="O6" s="29"/>
      <c r="P6" s="14"/>
      <c r="Q6" s="14"/>
      <c r="R6" s="57"/>
      <c r="S6" s="69"/>
      <c r="T6" s="70"/>
      <c r="U6" s="71"/>
      <c r="V6" s="27"/>
      <c r="W6" s="27"/>
      <c r="X6" s="58"/>
      <c r="Y6" s="15"/>
    </row>
    <row r="7" spans="1:27" s="13" customFormat="1" ht="20.100000000000001" customHeight="1" thickTop="1" thickBot="1">
      <c r="E7" s="116"/>
      <c r="G7" s="16" t="s">
        <v>176</v>
      </c>
      <c r="H7" s="51">
        <v>200</v>
      </c>
      <c r="I7" s="52"/>
      <c r="J7" s="53">
        <v>200</v>
      </c>
      <c r="K7" s="60"/>
      <c r="L7" s="77">
        <v>100</v>
      </c>
      <c r="M7" s="64"/>
      <c r="N7" s="52">
        <v>100</v>
      </c>
      <c r="O7" s="51"/>
      <c r="P7" s="53"/>
      <c r="Q7" s="53"/>
      <c r="R7" s="52"/>
      <c r="S7" s="69"/>
      <c r="T7" s="70"/>
      <c r="U7" s="71"/>
      <c r="V7" s="47"/>
      <c r="W7" s="47"/>
      <c r="X7" s="58"/>
      <c r="Y7" s="15"/>
    </row>
    <row r="8" spans="1:27" s="13" customFormat="1" ht="20.100000000000001" customHeight="1" thickTop="1" thickBot="1">
      <c r="E8" s="116"/>
      <c r="G8" s="16" t="s">
        <v>177</v>
      </c>
      <c r="H8" s="51">
        <v>100</v>
      </c>
      <c r="I8" s="52"/>
      <c r="J8" s="53"/>
      <c r="K8" s="60"/>
      <c r="L8" s="77"/>
      <c r="M8" s="64"/>
      <c r="N8" s="52">
        <v>50</v>
      </c>
      <c r="O8" s="51"/>
      <c r="P8" s="53"/>
      <c r="Q8" s="53"/>
      <c r="R8" s="52"/>
      <c r="S8" s="69"/>
      <c r="T8" s="70"/>
      <c r="U8" s="71"/>
      <c r="V8" s="47"/>
      <c r="W8" s="47"/>
      <c r="X8" s="58"/>
      <c r="Y8" s="15"/>
    </row>
    <row r="9" spans="1:27" s="13" customFormat="1" ht="20.100000000000001" customHeight="1" thickTop="1" thickBot="1">
      <c r="E9" s="116"/>
      <c r="G9" s="16" t="s">
        <v>181</v>
      </c>
      <c r="H9" s="51">
        <v>150</v>
      </c>
      <c r="I9" s="52"/>
      <c r="J9" s="53"/>
      <c r="K9" s="60"/>
      <c r="L9" s="77"/>
      <c r="M9" s="64"/>
      <c r="N9" s="52">
        <v>50</v>
      </c>
      <c r="O9" s="51"/>
      <c r="P9" s="53"/>
      <c r="Q9" s="53"/>
      <c r="R9" s="52"/>
      <c r="S9" s="69"/>
      <c r="T9" s="70"/>
      <c r="U9" s="71"/>
      <c r="V9" s="47"/>
      <c r="W9" s="47"/>
      <c r="X9" s="58"/>
      <c r="Y9" s="15"/>
    </row>
    <row r="10" spans="1:27" s="13" customFormat="1" ht="20.100000000000001" customHeight="1" thickTop="1" thickBot="1">
      <c r="E10" s="116"/>
      <c r="G10" s="16" t="s">
        <v>182</v>
      </c>
      <c r="H10" s="51">
        <v>150</v>
      </c>
      <c r="I10" s="52"/>
      <c r="J10" s="53"/>
      <c r="K10" s="60"/>
      <c r="L10" s="77"/>
      <c r="M10" s="64"/>
      <c r="N10" s="52">
        <v>50</v>
      </c>
      <c r="O10" s="51"/>
      <c r="P10" s="53"/>
      <c r="Q10" s="53"/>
      <c r="R10" s="52"/>
      <c r="S10" s="69"/>
      <c r="T10" s="70"/>
      <c r="U10" s="71"/>
      <c r="V10" s="47"/>
      <c r="W10" s="47"/>
      <c r="X10" s="58"/>
      <c r="Y10" s="15"/>
    </row>
    <row r="11" spans="1:27" s="13" customFormat="1" ht="20.100000000000001" customHeight="1" thickTop="1" thickBot="1">
      <c r="E11" s="116"/>
      <c r="G11" s="16" t="s">
        <v>183</v>
      </c>
      <c r="H11" s="51">
        <v>200</v>
      </c>
      <c r="I11" s="52"/>
      <c r="J11" s="53"/>
      <c r="K11" s="60"/>
      <c r="L11" s="77"/>
      <c r="M11" s="64"/>
      <c r="N11" s="52">
        <v>100</v>
      </c>
      <c r="O11" s="51"/>
      <c r="P11" s="53"/>
      <c r="Q11" s="53" t="s">
        <v>118</v>
      </c>
      <c r="R11" s="52"/>
      <c r="S11" s="69"/>
      <c r="T11" s="70"/>
      <c r="U11" s="71"/>
      <c r="V11" s="47"/>
      <c r="W11" s="47"/>
      <c r="X11" s="58"/>
      <c r="Y11" s="15"/>
    </row>
    <row r="12" spans="1:27" s="13" customFormat="1" ht="20.100000000000001" customHeight="1" thickTop="1" thickBot="1">
      <c r="E12" s="116"/>
      <c r="G12" s="16" t="s">
        <v>187</v>
      </c>
      <c r="H12" s="51">
        <v>100</v>
      </c>
      <c r="I12" s="52"/>
      <c r="J12" s="53"/>
      <c r="K12" s="60"/>
      <c r="L12" s="77"/>
      <c r="M12" s="64">
        <v>100</v>
      </c>
      <c r="N12" s="52"/>
      <c r="O12" s="51"/>
      <c r="P12" s="53"/>
      <c r="Q12" s="53"/>
      <c r="R12" s="52"/>
      <c r="S12" s="69"/>
      <c r="T12" s="70"/>
      <c r="U12" s="71"/>
      <c r="V12" s="47"/>
      <c r="W12" s="47"/>
      <c r="X12" s="58"/>
      <c r="Y12" s="15"/>
    </row>
    <row r="13" spans="1:27" s="13" customFormat="1" ht="20.100000000000001" customHeight="1" thickTop="1" thickBot="1">
      <c r="E13" s="116"/>
      <c r="G13" s="16" t="s">
        <v>184</v>
      </c>
      <c r="H13" s="51"/>
      <c r="I13" s="52"/>
      <c r="J13" s="53"/>
      <c r="K13" s="60"/>
      <c r="L13" s="77"/>
      <c r="M13" s="64"/>
      <c r="N13" s="52"/>
      <c r="O13" s="51"/>
      <c r="P13" s="53"/>
      <c r="Q13" s="53"/>
      <c r="R13" s="52"/>
      <c r="S13" s="69"/>
      <c r="T13" s="70"/>
      <c r="U13" s="71"/>
      <c r="V13" s="47"/>
      <c r="W13" s="47"/>
      <c r="X13" s="58"/>
      <c r="Y13" s="15"/>
    </row>
    <row r="14" spans="1:27" s="13" customFormat="1" ht="20.100000000000001" customHeight="1" thickTop="1" thickBot="1">
      <c r="E14" s="116"/>
      <c r="G14" s="16" t="s">
        <v>185</v>
      </c>
      <c r="H14" s="51"/>
      <c r="I14" s="52"/>
      <c r="J14" s="53"/>
      <c r="K14" s="60"/>
      <c r="L14" s="77"/>
      <c r="M14" s="64"/>
      <c r="N14" s="52"/>
      <c r="O14" s="51"/>
      <c r="P14" s="53"/>
      <c r="Q14" s="53"/>
      <c r="R14" s="52"/>
      <c r="S14" s="69"/>
      <c r="T14" s="70"/>
      <c r="U14" s="71"/>
      <c r="V14" s="47"/>
      <c r="W14" s="47"/>
      <c r="X14" s="58"/>
      <c r="Y14" s="15"/>
    </row>
    <row r="15" spans="1:27" s="13" customFormat="1" ht="20.100000000000001" customHeight="1" thickTop="1" thickBot="1">
      <c r="B15" s="13" t="s">
        <v>51</v>
      </c>
      <c r="E15" s="116"/>
      <c r="G15" s="16" t="s">
        <v>188</v>
      </c>
      <c r="H15" s="51"/>
      <c r="I15" s="52"/>
      <c r="J15" s="53"/>
      <c r="K15" s="60"/>
      <c r="L15" s="77"/>
      <c r="M15" s="64"/>
      <c r="N15" s="52"/>
      <c r="O15" s="51"/>
      <c r="P15" s="53"/>
      <c r="Q15" s="53"/>
      <c r="R15" s="52"/>
      <c r="S15" s="69"/>
      <c r="T15" s="70"/>
      <c r="U15" s="71"/>
      <c r="V15" s="47"/>
      <c r="W15" s="47"/>
      <c r="X15" s="58"/>
      <c r="Y15" s="15"/>
    </row>
    <row r="16" spans="1:27" s="13" customFormat="1" ht="20.100000000000001" customHeight="1" thickTop="1" thickBot="1">
      <c r="E16" s="116"/>
      <c r="G16" s="16" t="s">
        <v>186</v>
      </c>
      <c r="H16" s="51"/>
      <c r="I16" s="52"/>
      <c r="J16" s="53"/>
      <c r="K16" s="60"/>
      <c r="L16" s="77"/>
      <c r="M16" s="64"/>
      <c r="N16" s="52"/>
      <c r="O16" s="51"/>
      <c r="P16" s="53"/>
      <c r="Q16" s="53"/>
      <c r="R16" s="52"/>
      <c r="S16" s="69"/>
      <c r="T16" s="70"/>
      <c r="U16" s="71"/>
      <c r="V16" s="47"/>
      <c r="W16" s="47"/>
      <c r="X16" s="58"/>
      <c r="Y16" s="15"/>
    </row>
    <row r="17" spans="1:27" s="13" customFormat="1" ht="20.100000000000001" customHeight="1" thickTop="1" thickBot="1">
      <c r="E17" s="116"/>
      <c r="G17" s="117" t="s">
        <v>1</v>
      </c>
      <c r="H17" s="118">
        <v>400</v>
      </c>
      <c r="I17" s="119"/>
      <c r="J17" s="120"/>
      <c r="K17" s="121"/>
      <c r="L17" s="122">
        <v>100</v>
      </c>
      <c r="M17" s="123">
        <v>100</v>
      </c>
      <c r="N17" s="119">
        <v>150</v>
      </c>
      <c r="O17" s="118"/>
      <c r="P17" s="120"/>
      <c r="Q17" s="120"/>
      <c r="R17" s="119"/>
      <c r="S17" s="124"/>
      <c r="T17" s="125"/>
      <c r="U17" s="126"/>
      <c r="V17" s="127"/>
      <c r="W17" s="127"/>
      <c r="X17" s="128"/>
      <c r="Y17" s="15"/>
    </row>
    <row r="18" spans="1:27" s="13" customFormat="1" ht="20.100000000000001" customHeight="1" thickTop="1" thickBot="1">
      <c r="E18" s="116"/>
      <c r="G18" s="16"/>
      <c r="H18" s="29"/>
      <c r="I18" s="57"/>
      <c r="J18" s="14"/>
      <c r="K18" s="16"/>
      <c r="L18" s="77"/>
      <c r="M18" s="64"/>
      <c r="N18" s="57"/>
      <c r="O18" s="29"/>
      <c r="P18" s="14"/>
      <c r="Q18" s="14"/>
      <c r="R18" s="57"/>
      <c r="S18" s="69"/>
      <c r="T18" s="70"/>
      <c r="U18" s="71"/>
      <c r="V18" s="27"/>
      <c r="W18" s="27"/>
      <c r="X18" s="58"/>
      <c r="Y18" s="15"/>
    </row>
    <row r="19" spans="1:27" s="13" customFormat="1" ht="20.100000000000001" customHeight="1" thickTop="1" thickBot="1">
      <c r="E19" s="116"/>
      <c r="F19" s="13" t="s">
        <v>193</v>
      </c>
      <c r="G19" s="16" t="s">
        <v>175</v>
      </c>
      <c r="H19" s="51"/>
      <c r="I19" s="52"/>
      <c r="J19" s="53"/>
      <c r="K19" s="60"/>
      <c r="L19" s="77"/>
      <c r="M19" s="64"/>
      <c r="N19" s="52"/>
      <c r="O19" s="51"/>
      <c r="P19" s="53"/>
      <c r="Q19" s="53"/>
      <c r="R19" s="52"/>
      <c r="S19" s="69"/>
      <c r="T19" s="70"/>
      <c r="U19" s="71"/>
      <c r="V19" s="47"/>
      <c r="W19" s="47"/>
      <c r="X19" s="58"/>
      <c r="Y19" s="15"/>
    </row>
    <row r="20" spans="1:27" ht="20.100000000000001" customHeight="1" thickTop="1" thickBot="1">
      <c r="A20" s="13" t="s">
        <v>32</v>
      </c>
      <c r="B20" s="13" t="s">
        <v>51</v>
      </c>
      <c r="C20" s="13"/>
      <c r="D20" s="13"/>
      <c r="E20" s="116"/>
      <c r="F20" s="13"/>
      <c r="G20" s="16" t="s">
        <v>33</v>
      </c>
      <c r="H20" s="29"/>
      <c r="I20" s="57"/>
      <c r="J20" s="14"/>
      <c r="K20" s="16"/>
      <c r="L20" s="77"/>
      <c r="M20" s="129"/>
      <c r="N20" s="21"/>
      <c r="O20" s="29"/>
      <c r="P20" s="5"/>
      <c r="Q20" s="5"/>
      <c r="R20" s="21"/>
      <c r="S20" s="69"/>
      <c r="T20" s="70"/>
      <c r="U20" s="71"/>
      <c r="V20" s="27"/>
      <c r="W20" s="27"/>
      <c r="X20" s="58"/>
      <c r="Y20" s="2"/>
      <c r="Z20"/>
      <c r="AA20"/>
    </row>
    <row r="21" spans="1:27" s="13" customFormat="1" ht="20.100000000000001" customHeight="1" thickTop="1" thickBot="1">
      <c r="E21" s="116"/>
      <c r="G21" s="16"/>
      <c r="H21" s="51"/>
      <c r="I21" s="52"/>
      <c r="J21" s="53"/>
      <c r="K21" s="60"/>
      <c r="L21" s="77"/>
      <c r="M21" s="64"/>
      <c r="N21" s="52"/>
      <c r="O21" s="51"/>
      <c r="P21" s="53"/>
      <c r="Q21" s="53"/>
      <c r="R21" s="52"/>
      <c r="S21" s="69"/>
      <c r="T21" s="70"/>
      <c r="U21" s="71"/>
      <c r="V21" s="47"/>
      <c r="W21" s="47"/>
      <c r="X21" s="58"/>
      <c r="Y21" s="15"/>
    </row>
    <row r="22" spans="1:27" s="13" customFormat="1" ht="20.100000000000001" customHeight="1" thickTop="1" thickBot="1">
      <c r="E22" s="116"/>
      <c r="F22" s="13" t="s">
        <v>194</v>
      </c>
      <c r="G22" s="16" t="s">
        <v>5</v>
      </c>
      <c r="H22" s="51">
        <v>100</v>
      </c>
      <c r="I22" s="52"/>
      <c r="J22" s="53"/>
      <c r="K22" s="60"/>
      <c r="L22" s="77"/>
      <c r="M22" s="64"/>
      <c r="N22" s="52"/>
      <c r="O22" s="51"/>
      <c r="P22" s="53"/>
      <c r="Q22" s="53"/>
      <c r="R22" s="52"/>
      <c r="S22" s="69"/>
      <c r="T22" s="70"/>
      <c r="U22" s="71"/>
      <c r="V22" s="47"/>
      <c r="W22" s="47"/>
      <c r="X22" s="58"/>
      <c r="Y22" s="15"/>
    </row>
    <row r="23" spans="1:27" s="13" customFormat="1" ht="20.100000000000001" customHeight="1" thickTop="1" thickBot="1">
      <c r="E23" s="116"/>
      <c r="G23" s="16" t="s">
        <v>6</v>
      </c>
      <c r="H23" s="51">
        <v>200</v>
      </c>
      <c r="I23" s="52"/>
      <c r="J23" s="53"/>
      <c r="K23" s="60"/>
      <c r="L23" s="77"/>
      <c r="M23" s="64"/>
      <c r="N23" s="52"/>
      <c r="O23" s="51"/>
      <c r="P23" s="53"/>
      <c r="Q23" s="53"/>
      <c r="R23" s="52"/>
      <c r="S23" s="69"/>
      <c r="T23" s="70"/>
      <c r="U23" s="71"/>
      <c r="V23" s="47"/>
      <c r="W23" s="47"/>
      <c r="X23" s="58"/>
      <c r="Y23" s="15"/>
    </row>
    <row r="24" spans="1:27" s="13" customFormat="1" ht="20.100000000000001" customHeight="1" thickTop="1" thickBot="1">
      <c r="E24" s="116"/>
      <c r="G24" s="16" t="s">
        <v>179</v>
      </c>
      <c r="H24" s="51"/>
      <c r="I24" s="52"/>
      <c r="J24" s="53"/>
      <c r="K24" s="60"/>
      <c r="L24" s="77"/>
      <c r="M24" s="64"/>
      <c r="N24" s="52"/>
      <c r="O24" s="51"/>
      <c r="P24" s="53"/>
      <c r="Q24" s="53"/>
      <c r="R24" s="52"/>
      <c r="S24" s="69"/>
      <c r="T24" s="70"/>
      <c r="U24" s="71"/>
      <c r="V24" s="47"/>
      <c r="W24" s="47"/>
      <c r="X24" s="58"/>
      <c r="Y24" s="15"/>
    </row>
    <row r="25" spans="1:27" s="13" customFormat="1" ht="20.100000000000001" customHeight="1" thickTop="1" thickBot="1">
      <c r="E25" s="116"/>
      <c r="G25" s="16"/>
      <c r="H25" s="51"/>
      <c r="I25" s="52"/>
      <c r="J25" s="53"/>
      <c r="K25" s="60"/>
      <c r="L25" s="77"/>
      <c r="M25" s="64"/>
      <c r="N25" s="52"/>
      <c r="O25" s="51"/>
      <c r="P25" s="53"/>
      <c r="Q25" s="53"/>
      <c r="R25" s="52"/>
      <c r="S25" s="69"/>
      <c r="T25" s="70"/>
      <c r="U25" s="71"/>
      <c r="V25" s="47"/>
      <c r="W25" s="47"/>
      <c r="X25" s="58"/>
      <c r="Y25" s="15"/>
    </row>
    <row r="26" spans="1:27" s="13" customFormat="1" ht="20.100000000000001" customHeight="1" thickTop="1">
      <c r="G26" s="16"/>
      <c r="H26" s="29"/>
      <c r="I26" s="57"/>
      <c r="J26" s="14"/>
      <c r="K26" s="16"/>
      <c r="L26" s="83"/>
      <c r="M26" s="64"/>
      <c r="N26" s="57"/>
      <c r="O26" s="29"/>
      <c r="P26" s="14"/>
      <c r="Q26" s="14"/>
      <c r="R26" s="57"/>
      <c r="S26" s="69"/>
      <c r="T26" s="70"/>
      <c r="U26" s="71"/>
      <c r="V26" s="15"/>
      <c r="W26" s="15"/>
      <c r="X26" s="15"/>
      <c r="Y26" s="15"/>
    </row>
    <row r="27" spans="1:27" s="13" customFormat="1" ht="20.100000000000001" customHeight="1">
      <c r="F27" s="13" t="s">
        <v>91</v>
      </c>
      <c r="G27" s="16" t="s">
        <v>299</v>
      </c>
      <c r="H27" s="29"/>
      <c r="I27" s="57"/>
      <c r="J27" s="14"/>
      <c r="K27" s="16"/>
      <c r="L27" s="83"/>
      <c r="M27" s="64"/>
      <c r="N27" s="57"/>
      <c r="O27" s="29"/>
      <c r="P27" s="14"/>
      <c r="Q27" s="14"/>
      <c r="R27" s="57"/>
      <c r="S27" s="69"/>
      <c r="T27" s="70"/>
      <c r="U27" s="71"/>
      <c r="V27" s="15"/>
      <c r="W27" s="15"/>
      <c r="X27" s="15"/>
      <c r="Y27" s="15"/>
    </row>
    <row r="28" spans="1:27" s="13" customFormat="1" ht="20.100000000000001" customHeight="1">
      <c r="G28" s="16"/>
      <c r="H28" s="29"/>
      <c r="I28" s="57"/>
      <c r="J28" s="14"/>
      <c r="K28" s="16"/>
      <c r="L28" s="83"/>
      <c r="M28" s="64"/>
      <c r="N28" s="57"/>
      <c r="O28" s="29"/>
      <c r="P28" s="14"/>
      <c r="Q28" s="14"/>
      <c r="R28" s="57"/>
      <c r="S28" s="69"/>
      <c r="T28" s="70"/>
      <c r="U28" s="71"/>
      <c r="V28" s="47"/>
      <c r="W28" s="47"/>
      <c r="X28" s="15"/>
      <c r="Y28" s="15"/>
    </row>
    <row r="29" spans="1:27" s="102" customFormat="1" ht="20.100000000000001" customHeight="1">
      <c r="G29" s="103">
        <f>SUBTOTAL(109,G4:G25)</f>
        <v>0</v>
      </c>
      <c r="H29" s="104">
        <f>SUBTOTAL(109,H4:H25)</f>
        <v>2100</v>
      </c>
      <c r="I29" s="105"/>
      <c r="J29" s="106">
        <f>SUBTOTAL(109,J4:J28)</f>
        <v>300</v>
      </c>
      <c r="K29" s="103"/>
      <c r="L29" s="107"/>
      <c r="M29" s="108">
        <f>SUBTOTAL(109,M4:M28)</f>
        <v>300</v>
      </c>
      <c r="N29" s="105">
        <f>SUBTOTAL(109,N4:N28)</f>
        <v>750</v>
      </c>
      <c r="O29" s="104"/>
      <c r="P29" s="106"/>
      <c r="Q29" s="106"/>
      <c r="R29" s="105"/>
      <c r="S29" s="109"/>
      <c r="T29" s="110"/>
      <c r="U29" s="111"/>
      <c r="V29" s="112"/>
      <c r="W29" s="112"/>
      <c r="X29" s="113"/>
      <c r="Y29" s="113"/>
    </row>
    <row r="30" spans="1:27" s="15" customFormat="1" ht="20.100000000000001" customHeight="1" thickBot="1">
      <c r="G30" s="60"/>
      <c r="H30" s="51"/>
      <c r="I30" s="52"/>
      <c r="J30" s="53"/>
      <c r="K30" s="60"/>
      <c r="L30" s="78"/>
      <c r="M30" s="63"/>
      <c r="N30" s="52"/>
      <c r="O30" s="51"/>
      <c r="P30" s="53"/>
      <c r="Q30" s="53"/>
      <c r="R30" s="52"/>
      <c r="S30" s="72"/>
      <c r="T30" s="73"/>
      <c r="U30" s="74"/>
      <c r="V30" s="47"/>
      <c r="W30" s="47"/>
    </row>
    <row r="31" spans="1:27" s="13" customFormat="1" ht="20.100000000000001" customHeight="1" thickTop="1" thickBot="1">
      <c r="G31" s="16"/>
      <c r="H31" s="51"/>
      <c r="I31" s="52"/>
      <c r="J31" s="53"/>
      <c r="K31" s="60"/>
      <c r="L31" s="77"/>
      <c r="M31" s="65"/>
      <c r="N31" s="52"/>
      <c r="O31" s="51"/>
      <c r="P31" s="53"/>
      <c r="Q31" s="53"/>
      <c r="R31" s="52"/>
      <c r="S31" s="69"/>
      <c r="T31" s="70"/>
      <c r="U31" s="71"/>
      <c r="V31" s="47"/>
      <c r="W31" s="47"/>
      <c r="X31" s="15"/>
      <c r="Y31" s="15"/>
    </row>
    <row r="32" spans="1:27" s="13" customFormat="1" ht="20.100000000000001" customHeight="1" thickTop="1" thickBot="1">
      <c r="B32" s="13" t="s">
        <v>51</v>
      </c>
      <c r="F32" s="13" t="s">
        <v>46</v>
      </c>
      <c r="G32" s="16" t="s">
        <v>28</v>
      </c>
      <c r="H32" s="51">
        <v>200</v>
      </c>
      <c r="I32" s="52"/>
      <c r="J32" s="53"/>
      <c r="K32" s="60"/>
      <c r="L32" s="77">
        <v>100</v>
      </c>
      <c r="M32" s="65"/>
      <c r="N32" s="52">
        <v>100</v>
      </c>
      <c r="O32" s="51"/>
      <c r="P32" s="53"/>
      <c r="Q32" s="53"/>
      <c r="R32" s="52"/>
      <c r="S32" s="69"/>
      <c r="T32" s="70"/>
      <c r="U32" s="71"/>
      <c r="V32" s="47"/>
      <c r="W32" s="47"/>
      <c r="X32" s="15"/>
      <c r="Y32" s="15"/>
    </row>
    <row r="33" spans="2:27" s="13" customFormat="1" ht="20.100000000000001" customHeight="1" thickTop="1" thickBot="1">
      <c r="G33" s="16" t="s">
        <v>27</v>
      </c>
      <c r="H33" s="29">
        <v>300</v>
      </c>
      <c r="I33" s="57"/>
      <c r="J33" s="14"/>
      <c r="K33" s="16"/>
      <c r="L33" s="77">
        <v>100</v>
      </c>
      <c r="M33" s="65"/>
      <c r="N33" s="57">
        <v>100</v>
      </c>
      <c r="O33" s="29"/>
      <c r="P33" s="14"/>
      <c r="Q33" s="14"/>
      <c r="R33" s="57"/>
      <c r="S33" s="69"/>
      <c r="T33" s="70"/>
      <c r="U33" s="71"/>
      <c r="V33" s="47"/>
      <c r="W33" s="47"/>
      <c r="X33" s="15"/>
      <c r="Y33" s="15"/>
    </row>
    <row r="34" spans="2:27" s="13" customFormat="1" ht="20.100000000000001" customHeight="1" thickTop="1" thickBot="1">
      <c r="B34" s="13" t="s">
        <v>51</v>
      </c>
      <c r="G34" s="16" t="s">
        <v>29</v>
      </c>
      <c r="H34" s="51">
        <v>350</v>
      </c>
      <c r="I34" s="52"/>
      <c r="J34" s="53"/>
      <c r="K34" s="60"/>
      <c r="L34" s="77">
        <v>100</v>
      </c>
      <c r="M34" s="64"/>
      <c r="N34" s="52">
        <v>100</v>
      </c>
      <c r="O34" s="51"/>
      <c r="P34" s="53"/>
      <c r="Q34" s="53"/>
      <c r="R34" s="52"/>
      <c r="S34" s="69"/>
      <c r="T34" s="70"/>
      <c r="U34" s="71"/>
      <c r="V34" s="47"/>
      <c r="W34" s="47"/>
      <c r="X34" s="15"/>
      <c r="Y34" s="15"/>
    </row>
    <row r="35" spans="2:27" s="13" customFormat="1" ht="20.100000000000001" customHeight="1" thickTop="1" thickBot="1">
      <c r="B35" s="13" t="s">
        <v>51</v>
      </c>
      <c r="G35" s="16" t="s">
        <v>30</v>
      </c>
      <c r="H35" s="51">
        <v>300</v>
      </c>
      <c r="I35" s="52"/>
      <c r="J35" s="53"/>
      <c r="K35" s="60"/>
      <c r="L35" s="77">
        <v>100</v>
      </c>
      <c r="M35" s="65"/>
      <c r="N35" s="52">
        <v>100</v>
      </c>
      <c r="O35" s="51"/>
      <c r="P35" s="53"/>
      <c r="Q35" s="53"/>
      <c r="R35" s="52"/>
      <c r="S35" s="69"/>
      <c r="T35" s="70"/>
      <c r="U35" s="71"/>
      <c r="V35" s="47"/>
      <c r="W35" s="47"/>
      <c r="X35" s="15"/>
      <c r="Y35" s="15"/>
    </row>
    <row r="36" spans="2:27" s="13" customFormat="1" ht="20.100000000000001" customHeight="1" thickTop="1" thickBot="1">
      <c r="B36" s="13" t="s">
        <v>51</v>
      </c>
      <c r="C36" s="13" t="s">
        <v>128</v>
      </c>
      <c r="G36" s="16" t="s">
        <v>31</v>
      </c>
      <c r="H36" s="51">
        <v>300</v>
      </c>
      <c r="I36" s="52"/>
      <c r="J36" s="53"/>
      <c r="K36" s="60"/>
      <c r="L36" s="77">
        <v>100</v>
      </c>
      <c r="M36" s="64"/>
      <c r="N36" s="52">
        <v>100</v>
      </c>
      <c r="O36" s="51"/>
      <c r="P36" s="53"/>
      <c r="Q36" s="53"/>
      <c r="R36" s="52"/>
      <c r="S36" s="69"/>
      <c r="T36" s="70"/>
      <c r="U36" s="71"/>
      <c r="V36" s="47"/>
      <c r="W36" s="47"/>
      <c r="X36" s="15"/>
      <c r="Y36" s="15"/>
    </row>
    <row r="37" spans="2:27" s="13" customFormat="1" ht="20.100000000000001" customHeight="1" thickTop="1" thickBot="1">
      <c r="C37" s="13" t="s">
        <v>128</v>
      </c>
      <c r="G37" s="16" t="s">
        <v>173</v>
      </c>
      <c r="H37" s="51">
        <v>200</v>
      </c>
      <c r="I37" s="52"/>
      <c r="J37" s="53"/>
      <c r="K37" s="60"/>
      <c r="L37" s="77">
        <v>100</v>
      </c>
      <c r="M37" s="65"/>
      <c r="N37" s="52">
        <v>100</v>
      </c>
      <c r="O37" s="51"/>
      <c r="P37" s="53"/>
      <c r="Q37" s="53"/>
      <c r="R37" s="52"/>
      <c r="S37" s="69"/>
      <c r="T37" s="70"/>
      <c r="U37" s="71"/>
      <c r="V37" s="47"/>
      <c r="W37" s="47"/>
      <c r="X37" s="15"/>
      <c r="Y37" s="15"/>
    </row>
    <row r="38" spans="2:27" s="13" customFormat="1" ht="20.100000000000001" customHeight="1" thickTop="1" thickBot="1">
      <c r="G38" s="16" t="s">
        <v>253</v>
      </c>
      <c r="H38" s="29"/>
      <c r="I38" s="57"/>
      <c r="J38" s="14"/>
      <c r="K38" s="16"/>
      <c r="L38" s="77"/>
      <c r="M38" s="64"/>
      <c r="N38" s="57"/>
      <c r="O38" s="29"/>
      <c r="P38" s="14"/>
      <c r="Q38" s="14"/>
      <c r="R38" s="57"/>
      <c r="S38" s="69"/>
      <c r="T38" s="70"/>
      <c r="U38" s="71"/>
      <c r="V38" s="27"/>
      <c r="W38" s="27"/>
      <c r="X38" s="15" t="s">
        <v>311</v>
      </c>
      <c r="Y38" s="15"/>
    </row>
    <row r="39" spans="2:27" s="13" customFormat="1" ht="20.100000000000001" customHeight="1" thickTop="1" thickBot="1">
      <c r="G39" s="16"/>
      <c r="H39" s="29"/>
      <c r="I39" s="57"/>
      <c r="J39" s="14"/>
      <c r="K39" s="16"/>
      <c r="L39" s="77"/>
      <c r="M39" s="64"/>
      <c r="N39" s="57"/>
      <c r="O39" s="29"/>
      <c r="P39" s="14"/>
      <c r="Q39" s="14"/>
      <c r="R39" s="57"/>
      <c r="S39" s="69"/>
      <c r="T39" s="70"/>
      <c r="U39" s="71"/>
      <c r="V39" s="47"/>
      <c r="W39" s="47"/>
      <c r="X39" s="15"/>
      <c r="Y39" s="15"/>
    </row>
    <row r="40" spans="2:27" ht="20.100000000000001" customHeight="1" thickTop="1" thickBot="1">
      <c r="B40" t="s">
        <v>51</v>
      </c>
      <c r="F40" s="13" t="s">
        <v>193</v>
      </c>
      <c r="G40" s="16"/>
      <c r="H40" s="29"/>
      <c r="I40" s="57"/>
      <c r="J40" s="14"/>
      <c r="K40" s="16"/>
      <c r="L40" s="77"/>
      <c r="M40" s="64"/>
      <c r="N40" s="57"/>
      <c r="O40" s="29"/>
      <c r="P40" s="5"/>
      <c r="Q40" s="5"/>
      <c r="R40" s="21"/>
      <c r="S40" s="69"/>
      <c r="T40" s="70"/>
      <c r="U40" s="71"/>
      <c r="V40" s="27"/>
      <c r="W40" s="27"/>
      <c r="Y40" s="2"/>
      <c r="Z40"/>
      <c r="AA40"/>
    </row>
    <row r="41" spans="2:27" ht="20.100000000000001" customHeight="1" thickTop="1" thickBot="1">
      <c r="G41" s="16"/>
      <c r="H41" s="29"/>
      <c r="I41" s="57"/>
      <c r="J41" s="14"/>
      <c r="K41" s="14"/>
      <c r="L41" s="77"/>
      <c r="M41" s="29"/>
      <c r="N41" s="57"/>
      <c r="O41" s="29"/>
      <c r="P41" s="5"/>
      <c r="Q41" s="5"/>
      <c r="R41" s="21"/>
      <c r="S41" s="69"/>
      <c r="T41" s="70"/>
      <c r="U41" s="71"/>
      <c r="V41" s="47"/>
      <c r="W41" s="47"/>
      <c r="Y41" s="2"/>
      <c r="Z41"/>
      <c r="AA41"/>
    </row>
    <row r="42" spans="2:27" s="13" customFormat="1" ht="20.100000000000001" customHeight="1" thickTop="1" thickBot="1">
      <c r="E42" s="116"/>
      <c r="G42" s="16" t="s">
        <v>178</v>
      </c>
      <c r="H42" s="51">
        <v>300</v>
      </c>
      <c r="I42" s="52"/>
      <c r="J42" s="53"/>
      <c r="K42" s="60"/>
      <c r="L42" s="77">
        <v>100</v>
      </c>
      <c r="M42" s="64">
        <v>200</v>
      </c>
      <c r="N42" s="52">
        <v>100</v>
      </c>
      <c r="O42" s="51"/>
      <c r="P42" s="53"/>
      <c r="Q42" s="53"/>
      <c r="R42" s="52"/>
      <c r="S42" s="69"/>
      <c r="T42" s="70"/>
      <c r="U42" s="71"/>
      <c r="V42" s="47"/>
      <c r="W42" s="47"/>
      <c r="X42" s="58"/>
      <c r="Y42" s="15"/>
    </row>
    <row r="43" spans="2:27" ht="20.100000000000001" customHeight="1" thickTop="1" thickBot="1">
      <c r="B43" t="s">
        <v>51</v>
      </c>
      <c r="G43" s="16" t="s">
        <v>138</v>
      </c>
      <c r="H43" s="29">
        <v>150</v>
      </c>
      <c r="I43" s="57"/>
      <c r="J43" s="14"/>
      <c r="K43" s="16"/>
      <c r="L43" s="77">
        <v>100</v>
      </c>
      <c r="M43" s="129"/>
      <c r="N43" s="57">
        <v>50</v>
      </c>
      <c r="O43" s="29"/>
      <c r="P43" s="5"/>
      <c r="Q43" s="5"/>
      <c r="R43" s="21"/>
      <c r="S43" s="69"/>
      <c r="T43" s="70"/>
      <c r="U43" s="71"/>
      <c r="V43" s="27"/>
      <c r="W43" s="27"/>
      <c r="Y43" s="2"/>
      <c r="Z43"/>
      <c r="AA43"/>
    </row>
    <row r="44" spans="2:27" ht="20.100000000000001" customHeight="1" thickTop="1" thickBot="1">
      <c r="B44" t="s">
        <v>51</v>
      </c>
      <c r="G44" s="16" t="s">
        <v>36</v>
      </c>
      <c r="H44" s="29">
        <v>200</v>
      </c>
      <c r="I44" s="57">
        <v>200</v>
      </c>
      <c r="J44" s="14"/>
      <c r="K44" s="16"/>
      <c r="L44" s="77"/>
      <c r="M44" s="129"/>
      <c r="N44" s="57">
        <v>200</v>
      </c>
      <c r="O44" s="29"/>
      <c r="P44" s="5"/>
      <c r="Q44" s="5"/>
      <c r="R44" s="21"/>
      <c r="S44" s="69"/>
      <c r="T44" s="70"/>
      <c r="U44" s="71"/>
      <c r="V44" s="27"/>
      <c r="W44" s="27"/>
      <c r="Y44" s="2"/>
      <c r="Z44"/>
      <c r="AA44"/>
    </row>
    <row r="45" spans="2:27" ht="20.100000000000001" customHeight="1" thickTop="1" thickBot="1">
      <c r="B45" t="s">
        <v>51</v>
      </c>
      <c r="G45" s="16" t="s">
        <v>21</v>
      </c>
      <c r="H45" s="29"/>
      <c r="I45" s="57"/>
      <c r="J45" s="14"/>
      <c r="K45" s="16"/>
      <c r="L45" s="77"/>
      <c r="M45" s="64"/>
      <c r="N45" s="57"/>
      <c r="O45" s="44"/>
      <c r="P45" s="5"/>
      <c r="Q45" s="5"/>
      <c r="R45" s="21"/>
      <c r="S45" s="69"/>
      <c r="T45" s="70"/>
      <c r="U45" s="71"/>
      <c r="V45" s="27"/>
      <c r="W45" s="27"/>
      <c r="Y45" s="2"/>
      <c r="Z45"/>
      <c r="AA45"/>
    </row>
    <row r="46" spans="2:27" ht="19.5" customHeight="1" thickTop="1" thickBot="1">
      <c r="G46" s="16" t="s">
        <v>37</v>
      </c>
      <c r="H46" s="29">
        <v>250</v>
      </c>
      <c r="I46" s="57">
        <v>100</v>
      </c>
      <c r="J46" s="14"/>
      <c r="K46" s="16"/>
      <c r="L46" s="77"/>
      <c r="M46" s="64"/>
      <c r="N46" s="57">
        <v>100</v>
      </c>
      <c r="O46" s="50" t="s">
        <v>62</v>
      </c>
      <c r="P46" s="5"/>
      <c r="Q46" s="5"/>
      <c r="R46" s="21"/>
      <c r="S46" s="69"/>
      <c r="T46" s="70"/>
      <c r="U46" s="71"/>
      <c r="V46" s="27"/>
      <c r="W46" s="27"/>
      <c r="Y46" s="2"/>
      <c r="Z46"/>
      <c r="AA46"/>
    </row>
    <row r="47" spans="2:27" s="13" customFormat="1" ht="20.100000000000001" customHeight="1" thickTop="1" thickBot="1">
      <c r="B47" s="13" t="s">
        <v>51</v>
      </c>
      <c r="G47" s="16" t="s">
        <v>47</v>
      </c>
      <c r="H47" s="51">
        <v>300</v>
      </c>
      <c r="I47" s="52"/>
      <c r="J47" s="53"/>
      <c r="K47" s="60"/>
      <c r="L47" s="77">
        <v>100</v>
      </c>
      <c r="M47" s="64"/>
      <c r="N47" s="52">
        <v>100</v>
      </c>
      <c r="O47" s="51"/>
      <c r="P47" s="53"/>
      <c r="Q47" s="53"/>
      <c r="R47" s="52"/>
      <c r="S47" s="69"/>
      <c r="T47" s="70"/>
      <c r="U47" s="71"/>
      <c r="V47" s="47"/>
      <c r="W47" s="47"/>
      <c r="X47" s="15"/>
      <c r="Y47" s="15"/>
    </row>
    <row r="48" spans="2:27" s="13" customFormat="1" ht="20.100000000000001" customHeight="1" thickTop="1" thickBot="1">
      <c r="G48" s="16" t="s">
        <v>41</v>
      </c>
      <c r="H48" s="51">
        <v>200</v>
      </c>
      <c r="I48" s="52"/>
      <c r="J48" s="53"/>
      <c r="K48" s="60"/>
      <c r="L48" s="77"/>
      <c r="M48" s="64"/>
      <c r="N48" s="52">
        <v>100</v>
      </c>
      <c r="O48" s="51"/>
      <c r="P48" s="53"/>
      <c r="Q48" s="53"/>
      <c r="R48" s="52"/>
      <c r="S48" s="69"/>
      <c r="T48" s="70"/>
      <c r="U48" s="71"/>
      <c r="V48" s="47"/>
      <c r="W48" s="47"/>
      <c r="X48" s="15"/>
      <c r="Y48" s="15"/>
    </row>
    <row r="49" spans="2:27" s="13" customFormat="1" ht="20.100000000000001" customHeight="1" thickTop="1" thickBot="1">
      <c r="B49" s="13" t="s">
        <v>51</v>
      </c>
      <c r="G49" s="16" t="s">
        <v>35</v>
      </c>
      <c r="H49" s="51"/>
      <c r="I49" s="52"/>
      <c r="J49" s="53"/>
      <c r="K49" s="60"/>
      <c r="L49" s="77"/>
      <c r="M49" s="64"/>
      <c r="N49" s="52"/>
      <c r="O49" s="51"/>
      <c r="P49" s="53"/>
      <c r="Q49" s="53"/>
      <c r="R49" s="52"/>
      <c r="S49" s="69"/>
      <c r="T49" s="70"/>
      <c r="U49" s="71"/>
      <c r="V49" s="47"/>
      <c r="W49" s="47"/>
      <c r="X49" s="15"/>
      <c r="Y49" s="15"/>
    </row>
    <row r="50" spans="2:27" s="13" customFormat="1" ht="20.100000000000001" customHeight="1" thickTop="1" thickBot="1">
      <c r="B50" s="13" t="s">
        <v>51</v>
      </c>
      <c r="G50" s="16" t="s">
        <v>73</v>
      </c>
      <c r="H50" s="51">
        <v>100</v>
      </c>
      <c r="I50" s="52"/>
      <c r="J50" s="53"/>
      <c r="K50" s="60"/>
      <c r="L50" s="77"/>
      <c r="M50" s="64">
        <v>50</v>
      </c>
      <c r="N50" s="52"/>
      <c r="O50" s="51"/>
      <c r="P50" s="53"/>
      <c r="Q50" s="53"/>
      <c r="R50" s="52"/>
      <c r="S50" s="69"/>
      <c r="T50" s="70"/>
      <c r="U50" s="71"/>
      <c r="V50" s="47"/>
      <c r="W50" s="47"/>
      <c r="X50" s="15"/>
      <c r="Y50" s="15"/>
    </row>
    <row r="51" spans="2:27" ht="19.5" customHeight="1" thickTop="1" thickBot="1">
      <c r="G51" s="16" t="s">
        <v>153</v>
      </c>
      <c r="H51" s="29">
        <v>200</v>
      </c>
      <c r="I51" s="57"/>
      <c r="J51" s="14"/>
      <c r="K51" s="16"/>
      <c r="L51" s="77"/>
      <c r="M51" s="64"/>
      <c r="N51" s="57">
        <v>100</v>
      </c>
      <c r="O51" s="50"/>
      <c r="P51" s="5" t="s">
        <v>170</v>
      </c>
      <c r="Q51" s="5"/>
      <c r="R51" s="21"/>
      <c r="S51" s="69"/>
      <c r="T51" s="70"/>
      <c r="U51" s="71"/>
      <c r="V51" s="27"/>
      <c r="W51" s="27"/>
      <c r="Y51" s="2"/>
      <c r="Z51"/>
      <c r="AA51"/>
    </row>
    <row r="52" spans="2:27" ht="19.5" customHeight="1" thickTop="1" thickBot="1">
      <c r="G52" s="16"/>
      <c r="H52" s="29"/>
      <c r="I52" s="57"/>
      <c r="J52" s="14"/>
      <c r="K52" s="16"/>
      <c r="L52" s="77"/>
      <c r="M52" s="64"/>
      <c r="N52" s="57"/>
      <c r="O52" s="50"/>
      <c r="P52" s="5"/>
      <c r="Q52" s="5"/>
      <c r="R52" s="21"/>
      <c r="S52" s="69"/>
      <c r="T52" s="70"/>
      <c r="U52" s="71"/>
      <c r="V52" s="47"/>
      <c r="W52" s="47"/>
      <c r="Y52" s="2"/>
      <c r="Z52"/>
      <c r="AA52"/>
    </row>
    <row r="53" spans="2:27" ht="19.5" customHeight="1" thickTop="1" thickBot="1">
      <c r="G53" s="16"/>
      <c r="H53" s="29"/>
      <c r="I53" s="57"/>
      <c r="J53" s="14"/>
      <c r="K53" s="16"/>
      <c r="L53" s="77"/>
      <c r="M53" s="64"/>
      <c r="N53" s="57"/>
      <c r="O53" s="50"/>
      <c r="P53" s="5"/>
      <c r="Q53" s="5"/>
      <c r="R53" s="21"/>
      <c r="S53" s="69"/>
      <c r="T53" s="70"/>
      <c r="U53" s="71"/>
      <c r="V53" s="47"/>
      <c r="W53" s="47"/>
      <c r="Y53" s="2"/>
      <c r="Z53"/>
      <c r="AA53"/>
    </row>
    <row r="54" spans="2:27" ht="19.5" customHeight="1" thickTop="1" thickBot="1">
      <c r="F54" t="s">
        <v>69</v>
      </c>
      <c r="G54" s="16" t="s">
        <v>230</v>
      </c>
      <c r="H54" s="29"/>
      <c r="I54" s="57"/>
      <c r="J54" s="14"/>
      <c r="K54" s="16"/>
      <c r="L54" s="77"/>
      <c r="M54" s="64"/>
      <c r="N54" s="57"/>
      <c r="O54" s="50"/>
      <c r="P54" s="5">
        <v>7</v>
      </c>
      <c r="Q54" s="5"/>
      <c r="R54" s="21"/>
      <c r="S54" s="69"/>
      <c r="T54" s="70"/>
      <c r="U54" s="71"/>
      <c r="V54" s="47"/>
      <c r="W54" s="47"/>
      <c r="Y54" s="2"/>
      <c r="Z54"/>
      <c r="AA54"/>
    </row>
    <row r="55" spans="2:27" ht="19.5" customHeight="1" thickTop="1" thickBot="1">
      <c r="G55" s="16" t="s">
        <v>232</v>
      </c>
      <c r="H55" s="29"/>
      <c r="I55" s="57"/>
      <c r="J55" s="14"/>
      <c r="K55" s="16"/>
      <c r="L55" s="77"/>
      <c r="M55" s="64"/>
      <c r="N55" s="57"/>
      <c r="O55" s="50"/>
      <c r="P55" s="5">
        <v>6</v>
      </c>
      <c r="Q55" s="5"/>
      <c r="R55" s="21"/>
      <c r="S55" s="69"/>
      <c r="T55" s="70"/>
      <c r="U55" s="71"/>
      <c r="V55" s="47"/>
      <c r="W55" s="47"/>
      <c r="Y55" s="2"/>
      <c r="Z55"/>
      <c r="AA55"/>
    </row>
    <row r="56" spans="2:27" ht="19.5" customHeight="1" thickTop="1" thickBot="1">
      <c r="G56" s="16" t="s">
        <v>234</v>
      </c>
      <c r="H56" s="29"/>
      <c r="I56" s="57"/>
      <c r="J56" s="14"/>
      <c r="K56" s="16"/>
      <c r="L56" s="77"/>
      <c r="M56" s="57"/>
      <c r="N56" s="57"/>
      <c r="O56" s="50"/>
      <c r="P56" s="5">
        <v>5</v>
      </c>
      <c r="Q56" s="5"/>
      <c r="R56" s="21"/>
      <c r="S56" s="69"/>
      <c r="T56" s="70"/>
      <c r="U56" s="71"/>
      <c r="V56" s="47"/>
      <c r="W56" s="47"/>
      <c r="Y56" s="2"/>
      <c r="Z56"/>
      <c r="AA56"/>
    </row>
    <row r="57" spans="2:27" ht="19.5" customHeight="1" thickTop="1" thickBot="1">
      <c r="G57" s="16" t="s">
        <v>236</v>
      </c>
      <c r="H57" s="29"/>
      <c r="I57" s="57"/>
      <c r="J57" s="14"/>
      <c r="K57" s="16"/>
      <c r="L57" s="77"/>
      <c r="M57" s="57"/>
      <c r="N57" s="57"/>
      <c r="O57" s="50"/>
      <c r="P57" s="5">
        <v>8</v>
      </c>
      <c r="Q57" s="5"/>
      <c r="R57" s="21"/>
      <c r="S57" s="69"/>
      <c r="T57" s="70"/>
      <c r="U57" s="71"/>
      <c r="V57" s="47"/>
      <c r="W57" s="47"/>
      <c r="Y57" s="2"/>
      <c r="Z57"/>
      <c r="AA57"/>
    </row>
    <row r="58" spans="2:27" ht="19.5" customHeight="1" thickTop="1" thickBot="1">
      <c r="G58" s="117" t="s">
        <v>238</v>
      </c>
      <c r="H58" s="29">
        <v>100</v>
      </c>
      <c r="I58" s="57"/>
      <c r="J58" s="14"/>
      <c r="K58" s="16"/>
      <c r="L58" s="77"/>
      <c r="M58" s="57"/>
      <c r="N58" s="57">
        <v>50</v>
      </c>
      <c r="O58" s="50"/>
      <c r="P58" s="5">
        <v>10</v>
      </c>
      <c r="Q58" s="5"/>
      <c r="R58" s="21"/>
      <c r="S58" s="69"/>
      <c r="T58" s="70"/>
      <c r="U58" s="71"/>
      <c r="V58" s="47"/>
      <c r="W58" s="47"/>
      <c r="Y58" s="2"/>
      <c r="Z58"/>
      <c r="AA58"/>
    </row>
    <row r="59" spans="2:27" ht="19.5" customHeight="1" thickTop="1" thickBot="1">
      <c r="G59" s="117" t="s">
        <v>240</v>
      </c>
      <c r="H59" s="29">
        <v>100</v>
      </c>
      <c r="I59" s="57"/>
      <c r="J59" s="14"/>
      <c r="K59" s="16"/>
      <c r="L59" s="77"/>
      <c r="M59" s="64"/>
      <c r="N59" s="64">
        <v>50</v>
      </c>
      <c r="O59" s="50"/>
      <c r="P59" s="5">
        <v>10</v>
      </c>
      <c r="Q59" s="5"/>
      <c r="R59" s="21"/>
      <c r="S59" s="69"/>
      <c r="T59" s="70"/>
      <c r="U59" s="71"/>
      <c r="V59" s="47"/>
      <c r="W59" s="47"/>
      <c r="Y59" s="2"/>
      <c r="Z59"/>
      <c r="AA59"/>
    </row>
    <row r="60" spans="2:27" ht="19.5" customHeight="1" thickTop="1" thickBot="1">
      <c r="G60" s="117" t="s">
        <v>242</v>
      </c>
      <c r="H60" s="29">
        <v>100</v>
      </c>
      <c r="I60" s="57"/>
      <c r="J60" s="14"/>
      <c r="K60" s="16"/>
      <c r="L60" s="77"/>
      <c r="M60" s="64"/>
      <c r="N60" s="64">
        <v>50</v>
      </c>
      <c r="O60" s="50"/>
      <c r="P60" s="5">
        <v>10</v>
      </c>
      <c r="Q60" s="5"/>
      <c r="R60" s="21"/>
      <c r="S60" s="69"/>
      <c r="T60" s="70"/>
      <c r="U60" s="71"/>
      <c r="V60" s="47"/>
      <c r="W60" s="47"/>
      <c r="Y60" s="2"/>
      <c r="Z60"/>
      <c r="AA60"/>
    </row>
    <row r="61" spans="2:27" ht="19.5" customHeight="1" thickTop="1" thickBot="1">
      <c r="G61" s="117" t="s">
        <v>244</v>
      </c>
      <c r="H61" s="29"/>
      <c r="I61" s="57"/>
      <c r="J61" s="14"/>
      <c r="K61" s="16"/>
      <c r="L61" s="77"/>
      <c r="M61" s="64"/>
      <c r="N61" s="64"/>
      <c r="O61" s="50"/>
      <c r="P61" s="5">
        <v>9</v>
      </c>
      <c r="Q61" s="5"/>
      <c r="R61" s="21"/>
      <c r="S61" s="69"/>
      <c r="T61" s="70"/>
      <c r="U61" s="71"/>
      <c r="V61" s="47"/>
      <c r="W61" s="47"/>
      <c r="Y61" s="2"/>
      <c r="Z61"/>
      <c r="AA61"/>
    </row>
    <row r="62" spans="2:27" ht="19.5" customHeight="1" thickTop="1" thickBot="1">
      <c r="G62" s="117" t="s">
        <v>246</v>
      </c>
      <c r="H62" s="29"/>
      <c r="I62" s="57"/>
      <c r="J62" s="14"/>
      <c r="K62" s="16"/>
      <c r="L62" s="77"/>
      <c r="M62" s="64"/>
      <c r="N62" s="57"/>
      <c r="O62" s="50"/>
      <c r="P62" s="5">
        <v>10</v>
      </c>
      <c r="Q62" s="5"/>
      <c r="R62" s="21"/>
      <c r="S62" s="69"/>
      <c r="T62" s="70"/>
      <c r="U62" s="71"/>
      <c r="V62" s="47"/>
      <c r="W62" s="47"/>
      <c r="Y62" s="2"/>
      <c r="Z62"/>
      <c r="AA62"/>
    </row>
    <row r="63" spans="2:27" ht="19.5" customHeight="1" thickTop="1" thickBot="1">
      <c r="G63" s="117" t="s">
        <v>248</v>
      </c>
      <c r="H63" s="29">
        <v>50</v>
      </c>
      <c r="I63" s="57"/>
      <c r="J63" s="14"/>
      <c r="K63" s="16"/>
      <c r="L63" s="77"/>
      <c r="M63" s="57">
        <v>50</v>
      </c>
      <c r="N63" s="57"/>
      <c r="O63" s="50"/>
      <c r="P63" s="5">
        <v>8</v>
      </c>
      <c r="Q63" s="5"/>
      <c r="R63" s="21"/>
      <c r="S63" s="69"/>
      <c r="T63" s="70"/>
      <c r="U63" s="71"/>
      <c r="V63" s="47"/>
      <c r="W63" s="47"/>
      <c r="Y63" s="2"/>
      <c r="Z63"/>
      <c r="AA63"/>
    </row>
    <row r="64" spans="2:27" ht="19.5" customHeight="1" thickTop="1" thickBot="1">
      <c r="G64" s="117" t="s">
        <v>250</v>
      </c>
      <c r="H64" s="29">
        <v>50</v>
      </c>
      <c r="I64" s="57"/>
      <c r="J64" s="14"/>
      <c r="K64" s="16"/>
      <c r="L64" s="77"/>
      <c r="M64" s="57">
        <v>50</v>
      </c>
      <c r="N64" s="57"/>
      <c r="O64" s="50"/>
      <c r="P64" s="5">
        <v>8</v>
      </c>
      <c r="Q64" s="5"/>
      <c r="R64" s="21"/>
      <c r="S64" s="69"/>
      <c r="T64" s="70"/>
      <c r="U64" s="71"/>
      <c r="V64" s="47"/>
      <c r="W64" s="47"/>
      <c r="Y64" s="2"/>
      <c r="Z64"/>
      <c r="AA64"/>
    </row>
    <row r="65" spans="6:27" ht="19.5" customHeight="1" thickTop="1" thickBot="1">
      <c r="G65" s="117" t="s">
        <v>252</v>
      </c>
      <c r="H65" s="29">
        <v>50</v>
      </c>
      <c r="I65" s="57"/>
      <c r="J65" s="14"/>
      <c r="K65" s="16"/>
      <c r="L65" s="77"/>
      <c r="M65" s="57">
        <v>50</v>
      </c>
      <c r="N65" s="57"/>
      <c r="O65" s="50"/>
      <c r="P65" s="5">
        <v>6</v>
      </c>
      <c r="Q65" s="5"/>
      <c r="R65" s="21"/>
      <c r="S65" s="69"/>
      <c r="T65" s="70"/>
      <c r="U65" s="71"/>
      <c r="V65" s="47"/>
      <c r="W65" s="47"/>
      <c r="Y65" s="2"/>
      <c r="Z65"/>
      <c r="AA65"/>
    </row>
    <row r="66" spans="6:27" ht="18" customHeight="1" thickTop="1" thickBot="1">
      <c r="G66" s="16"/>
      <c r="H66" s="29"/>
      <c r="I66" s="57"/>
      <c r="J66" s="14"/>
      <c r="K66" s="16"/>
      <c r="L66" s="77"/>
      <c r="M66" s="64"/>
      <c r="N66" s="57"/>
      <c r="O66" s="50"/>
      <c r="P66" s="5"/>
      <c r="Q66" s="5"/>
      <c r="R66" s="21"/>
      <c r="S66" s="69"/>
      <c r="T66" s="70"/>
      <c r="U66" s="71"/>
      <c r="V66" s="47"/>
      <c r="W66" s="47"/>
      <c r="Y66" s="2"/>
      <c r="Z66"/>
      <c r="AA66"/>
    </row>
    <row r="67" spans="6:27" ht="18" customHeight="1" thickTop="1" thickBot="1">
      <c r="F67" s="13" t="s">
        <v>191</v>
      </c>
      <c r="G67" s="16" t="s">
        <v>180</v>
      </c>
      <c r="H67" s="29"/>
      <c r="I67" s="57"/>
      <c r="J67" s="14"/>
      <c r="K67" s="16"/>
      <c r="L67" s="77"/>
      <c r="M67" s="64"/>
      <c r="N67" s="57"/>
      <c r="O67" s="50"/>
      <c r="P67" s="53">
        <v>10</v>
      </c>
      <c r="Q67" s="5"/>
      <c r="R67" s="21"/>
      <c r="S67" s="69"/>
      <c r="T67" s="70"/>
      <c r="U67" s="71"/>
      <c r="V67" s="47"/>
      <c r="W67" s="47"/>
      <c r="Y67" s="2"/>
      <c r="Z67"/>
      <c r="AA67"/>
    </row>
    <row r="68" spans="6:27" ht="18" customHeight="1" thickTop="1" thickBot="1">
      <c r="F68" s="13"/>
      <c r="G68" s="16" t="s">
        <v>203</v>
      </c>
      <c r="H68" s="29"/>
      <c r="I68" s="57"/>
      <c r="J68" s="14"/>
      <c r="K68" s="16"/>
      <c r="L68" s="77"/>
      <c r="M68" s="64"/>
      <c r="N68" s="57"/>
      <c r="O68" s="50"/>
      <c r="P68" s="53">
        <v>5</v>
      </c>
      <c r="Q68" s="5"/>
      <c r="R68" s="21"/>
      <c r="S68" s="69"/>
      <c r="T68" s="70"/>
      <c r="U68" s="71"/>
      <c r="V68" s="47"/>
      <c r="W68" s="47"/>
      <c r="Y68" s="2"/>
      <c r="Z68"/>
      <c r="AA68"/>
    </row>
    <row r="69" spans="6:27" ht="18" customHeight="1" thickTop="1" thickBot="1">
      <c r="F69" s="13"/>
      <c r="G69" s="16" t="s">
        <v>205</v>
      </c>
      <c r="H69" s="29"/>
      <c r="I69" s="57"/>
      <c r="J69" s="14"/>
      <c r="K69" s="16"/>
      <c r="L69" s="77"/>
      <c r="M69" s="64"/>
      <c r="N69" s="57"/>
      <c r="O69" s="50"/>
      <c r="P69" s="53">
        <v>5</v>
      </c>
      <c r="Q69" s="5"/>
      <c r="R69" s="21"/>
      <c r="S69" s="69"/>
      <c r="T69" s="70"/>
      <c r="U69" s="71"/>
      <c r="V69" s="47"/>
      <c r="W69" s="47"/>
      <c r="Y69" s="2"/>
      <c r="Z69"/>
      <c r="AA69"/>
    </row>
    <row r="70" spans="6:27" ht="18" customHeight="1" thickTop="1" thickBot="1">
      <c r="F70" s="13"/>
      <c r="G70" s="16" t="s">
        <v>207</v>
      </c>
      <c r="H70" s="29"/>
      <c r="I70" s="57"/>
      <c r="J70" s="14"/>
      <c r="K70" s="16"/>
      <c r="L70" s="77"/>
      <c r="M70" s="64"/>
      <c r="N70" s="57"/>
      <c r="O70" s="50"/>
      <c r="P70" s="53">
        <v>5</v>
      </c>
      <c r="Q70" s="5"/>
      <c r="R70" s="21"/>
      <c r="S70" s="69"/>
      <c r="T70" s="70"/>
      <c r="U70" s="71"/>
      <c r="V70" s="47"/>
      <c r="W70" s="47"/>
      <c r="Y70" s="2"/>
      <c r="Z70"/>
      <c r="AA70"/>
    </row>
    <row r="71" spans="6:27" ht="18" customHeight="1" thickTop="1" thickBot="1">
      <c r="F71" s="13"/>
      <c r="G71" s="16" t="s">
        <v>209</v>
      </c>
      <c r="H71" s="29"/>
      <c r="I71" s="57"/>
      <c r="J71" s="14"/>
      <c r="K71" s="16"/>
      <c r="L71" s="77"/>
      <c r="M71" s="64"/>
      <c r="N71" s="57"/>
      <c r="O71" s="50"/>
      <c r="P71" s="14">
        <v>10</v>
      </c>
      <c r="Q71" s="5"/>
      <c r="R71" s="21"/>
      <c r="S71" s="69"/>
      <c r="T71" s="70"/>
      <c r="U71" s="71"/>
      <c r="V71" s="47"/>
      <c r="W71" s="47"/>
      <c r="Y71" s="2"/>
      <c r="Z71"/>
      <c r="AA71"/>
    </row>
    <row r="72" spans="6:27" ht="18" customHeight="1" thickTop="1" thickBot="1">
      <c r="G72" s="16"/>
      <c r="H72" s="29"/>
      <c r="I72" s="57"/>
      <c r="J72" s="14"/>
      <c r="K72" s="16"/>
      <c r="L72" s="77"/>
      <c r="M72" s="64"/>
      <c r="N72" s="57"/>
      <c r="O72" s="50"/>
      <c r="P72" s="5"/>
      <c r="Q72" s="5"/>
      <c r="R72" s="21"/>
      <c r="S72" s="69"/>
      <c r="T72" s="70"/>
      <c r="U72" s="71"/>
      <c r="V72" s="47"/>
      <c r="W72" s="47"/>
      <c r="Y72" s="2"/>
      <c r="Z72"/>
      <c r="AA72"/>
    </row>
    <row r="73" spans="6:27" ht="18" customHeight="1" thickTop="1" thickBot="1">
      <c r="G73" s="16"/>
      <c r="H73" s="29"/>
      <c r="I73" s="57"/>
      <c r="J73" s="14"/>
      <c r="K73" s="16"/>
      <c r="L73" s="77"/>
      <c r="M73" s="64"/>
      <c r="N73" s="57"/>
      <c r="O73" s="50"/>
      <c r="P73" s="5"/>
      <c r="Q73" s="5"/>
      <c r="R73" s="21"/>
      <c r="S73" s="69"/>
      <c r="T73" s="70"/>
      <c r="U73" s="71"/>
      <c r="V73" s="47"/>
      <c r="W73" s="47"/>
      <c r="Y73" s="2"/>
      <c r="Z73"/>
      <c r="AA73"/>
    </row>
    <row r="74" spans="6:27" ht="18" customHeight="1" thickTop="1" thickBot="1">
      <c r="G74" s="16"/>
      <c r="H74" s="29"/>
      <c r="I74" s="57"/>
      <c r="J74" s="14"/>
      <c r="K74" s="16"/>
      <c r="L74" s="77"/>
      <c r="M74" s="64"/>
      <c r="N74" s="57"/>
      <c r="O74" s="50"/>
      <c r="P74" s="5"/>
      <c r="Q74" s="5"/>
      <c r="R74" s="21"/>
      <c r="S74" s="69"/>
      <c r="T74" s="70"/>
      <c r="U74" s="71"/>
      <c r="V74" s="47"/>
      <c r="W74" s="47"/>
      <c r="Y74" s="2"/>
      <c r="Z74"/>
      <c r="AA74"/>
    </row>
    <row r="75" spans="6:27" ht="19.5" customHeight="1" thickTop="1" thickBot="1">
      <c r="G75" s="16"/>
      <c r="H75" s="29"/>
      <c r="I75" s="57"/>
      <c r="J75" s="14"/>
      <c r="K75" s="16"/>
      <c r="L75" s="77"/>
      <c r="M75" s="64"/>
      <c r="N75" s="57"/>
      <c r="O75" s="50"/>
      <c r="P75" s="5"/>
      <c r="Q75" s="5"/>
      <c r="R75" s="21"/>
      <c r="S75" s="69"/>
      <c r="T75" s="70"/>
      <c r="U75" s="71"/>
      <c r="V75" s="47"/>
      <c r="W75" s="47"/>
      <c r="Y75" s="2"/>
      <c r="Z75"/>
      <c r="AA75"/>
    </row>
    <row r="76" spans="6:27" ht="19.5" customHeight="1" thickTop="1" thickBot="1">
      <c r="G76" s="16" t="s">
        <v>70</v>
      </c>
      <c r="H76" s="29">
        <v>350</v>
      </c>
      <c r="I76" s="57"/>
      <c r="J76" s="14"/>
      <c r="K76" s="16"/>
      <c r="L76" s="77"/>
      <c r="M76" s="64">
        <v>100</v>
      </c>
      <c r="N76" s="57">
        <v>50</v>
      </c>
      <c r="O76" s="29"/>
      <c r="P76" s="5"/>
      <c r="Q76" s="5"/>
      <c r="R76" s="21"/>
      <c r="S76" s="69"/>
      <c r="T76" s="70"/>
      <c r="U76" s="71"/>
      <c r="V76" s="47"/>
      <c r="W76" s="47"/>
      <c r="Y76" s="2"/>
      <c r="Z76"/>
      <c r="AA76"/>
    </row>
    <row r="77" spans="6:27" ht="19.5" customHeight="1" thickTop="1" thickBot="1">
      <c r="G77" s="16"/>
      <c r="H77" s="29"/>
      <c r="I77" s="57"/>
      <c r="J77" s="14"/>
      <c r="K77" s="16"/>
      <c r="L77" s="77"/>
      <c r="M77" s="64"/>
      <c r="N77" s="57"/>
      <c r="O77" s="50"/>
      <c r="P77" s="5"/>
      <c r="Q77" s="5"/>
      <c r="R77" s="21"/>
      <c r="S77" s="69"/>
      <c r="T77" s="70"/>
      <c r="U77" s="71"/>
      <c r="V77" s="47"/>
      <c r="W77" s="47"/>
      <c r="Y77" s="2"/>
      <c r="Z77"/>
      <c r="AA77"/>
    </row>
    <row r="78" spans="6:27" s="13" customFormat="1" ht="20.100000000000001" customHeight="1" thickTop="1" thickBot="1">
      <c r="G78" s="16"/>
      <c r="H78" s="51"/>
      <c r="I78" s="52"/>
      <c r="J78" s="53"/>
      <c r="K78" s="60"/>
      <c r="L78" s="77"/>
      <c r="M78" s="64"/>
      <c r="N78" s="52"/>
      <c r="O78" s="51"/>
      <c r="P78" s="53"/>
      <c r="Q78" s="53"/>
      <c r="R78" s="52"/>
      <c r="S78" s="69"/>
      <c r="T78" s="70"/>
      <c r="U78" s="71"/>
      <c r="V78" s="47"/>
      <c r="W78" s="47"/>
      <c r="X78" s="15"/>
      <c r="Y78" s="15"/>
    </row>
    <row r="79" spans="6:27" s="13" customFormat="1" ht="20.100000000000001" customHeight="1" thickTop="1" thickBot="1">
      <c r="G79" s="16"/>
      <c r="H79" s="51"/>
      <c r="I79" s="52"/>
      <c r="J79" s="53"/>
      <c r="K79" s="60"/>
      <c r="L79" s="77"/>
      <c r="M79" s="64"/>
      <c r="N79" s="52"/>
      <c r="O79" s="51"/>
      <c r="P79" s="53"/>
      <c r="Q79" s="53"/>
      <c r="R79" s="52"/>
      <c r="S79" s="69"/>
      <c r="T79" s="70"/>
      <c r="U79" s="71"/>
      <c r="V79" s="47"/>
      <c r="W79" s="47"/>
      <c r="X79" s="15"/>
      <c r="Y79" s="15"/>
    </row>
    <row r="80" spans="6:27" s="13" customFormat="1" ht="20.100000000000001" customHeight="1" thickTop="1" thickBot="1">
      <c r="G80" s="16"/>
      <c r="H80" s="51">
        <f t="shared" ref="H80:N80" si="0">SUM(H32:H78)</f>
        <v>4150</v>
      </c>
      <c r="I80" s="51">
        <f t="shared" si="0"/>
        <v>300</v>
      </c>
      <c r="J80" s="51">
        <f t="shared" si="0"/>
        <v>0</v>
      </c>
      <c r="K80" s="51">
        <f t="shared" si="0"/>
        <v>0</v>
      </c>
      <c r="L80" s="51">
        <f t="shared" si="0"/>
        <v>900</v>
      </c>
      <c r="M80" s="51">
        <f t="shared" si="0"/>
        <v>500</v>
      </c>
      <c r="N80" s="51">
        <f t="shared" si="0"/>
        <v>1550</v>
      </c>
      <c r="O80" s="51">
        <f>SUM(O31:O79)</f>
        <v>0</v>
      </c>
      <c r="P80" s="53"/>
      <c r="Q80" s="53"/>
      <c r="R80" s="52"/>
      <c r="S80" s="69"/>
      <c r="T80" s="70"/>
      <c r="U80" s="71"/>
      <c r="V80" s="47"/>
      <c r="W80" s="47"/>
      <c r="X80" s="15"/>
      <c r="Y80" s="15"/>
    </row>
    <row r="81" spans="1:27" ht="19.5" customHeight="1" thickTop="1" thickBot="1">
      <c r="G81" s="16"/>
      <c r="H81" s="20"/>
      <c r="I81" s="21"/>
      <c r="J81" s="5"/>
      <c r="K81" s="61"/>
      <c r="L81" s="77"/>
      <c r="M81" s="65"/>
      <c r="N81" s="21"/>
      <c r="O81" s="50"/>
      <c r="P81" s="5"/>
      <c r="Q81" s="5"/>
      <c r="R81" s="21"/>
      <c r="S81" s="69"/>
      <c r="T81" s="70"/>
      <c r="U81" s="71"/>
      <c r="V81" s="27"/>
      <c r="W81" s="27"/>
      <c r="Y81" s="2"/>
      <c r="Z81"/>
      <c r="AA81"/>
    </row>
    <row r="82" spans="1:27" s="13" customFormat="1" ht="20.100000000000001" customHeight="1" thickTop="1" thickBot="1">
      <c r="G82" s="16"/>
      <c r="H82" s="51"/>
      <c r="I82" s="52"/>
      <c r="J82" s="53"/>
      <c r="K82" s="60"/>
      <c r="L82" s="77"/>
      <c r="M82" s="64"/>
      <c r="N82" s="52"/>
      <c r="O82" s="51"/>
      <c r="P82" s="53"/>
      <c r="Q82" s="53"/>
      <c r="R82" s="52"/>
      <c r="S82" s="69"/>
      <c r="T82" s="70"/>
      <c r="U82" s="71"/>
      <c r="V82" s="47"/>
      <c r="W82" s="47"/>
      <c r="X82" s="15"/>
      <c r="Y82" s="15"/>
    </row>
    <row r="83" spans="1:27" s="2" customFormat="1" ht="17.25" thickTop="1">
      <c r="A83"/>
      <c r="B83"/>
      <c r="C83"/>
      <c r="D83"/>
      <c r="E83"/>
      <c r="F83"/>
      <c r="Y83" s="15"/>
    </row>
    <row r="85" spans="1:27" s="2" customFormat="1">
      <c r="A85"/>
      <c r="B85"/>
      <c r="C85"/>
      <c r="D85"/>
      <c r="E85"/>
      <c r="F85"/>
      <c r="Y85" s="15"/>
    </row>
    <row r="86" spans="1:27" s="2" customFormat="1">
      <c r="A86"/>
      <c r="B86"/>
      <c r="C86"/>
      <c r="D86"/>
      <c r="E86"/>
      <c r="F86"/>
      <c r="Y86" s="15"/>
    </row>
    <row r="87" spans="1:27" s="2" customFormat="1">
      <c r="A87"/>
      <c r="B87"/>
      <c r="C87"/>
      <c r="D87"/>
      <c r="E87"/>
      <c r="F87"/>
      <c r="Y87" s="15"/>
    </row>
    <row r="88" spans="1:27" s="2" customFormat="1">
      <c r="A88"/>
      <c r="B88"/>
      <c r="C88"/>
      <c r="D88"/>
      <c r="E88"/>
      <c r="F88"/>
      <c r="Y88" s="15"/>
    </row>
    <row r="89" spans="1:27" s="2" customFormat="1">
      <c r="A89"/>
      <c r="B89"/>
      <c r="C89"/>
      <c r="D89"/>
      <c r="E89"/>
      <c r="F89"/>
      <c r="Y89" s="15"/>
    </row>
    <row r="90" spans="1:27" s="2" customFormat="1">
      <c r="A90"/>
      <c r="B90"/>
      <c r="C90"/>
      <c r="D90"/>
      <c r="E90"/>
      <c r="F90"/>
      <c r="Y90" s="15"/>
    </row>
    <row r="91" spans="1:27" s="2" customFormat="1">
      <c r="A91"/>
      <c r="B91"/>
      <c r="C91"/>
      <c r="D91"/>
      <c r="E91"/>
      <c r="F91"/>
      <c r="Y91" s="15"/>
    </row>
    <row r="92" spans="1:27" s="2" customFormat="1">
      <c r="A92"/>
      <c r="B92"/>
      <c r="C92"/>
      <c r="D92"/>
      <c r="E92"/>
      <c r="F92"/>
      <c r="Y92" s="15"/>
    </row>
    <row r="93" spans="1:27" s="2" customFormat="1">
      <c r="A93"/>
      <c r="B93"/>
      <c r="C93"/>
      <c r="D93"/>
      <c r="E93"/>
      <c r="F93"/>
      <c r="Y93" s="15"/>
    </row>
    <row r="94" spans="1:27" s="2" customFormat="1">
      <c r="A94"/>
      <c r="B94"/>
      <c r="C94"/>
      <c r="D94"/>
      <c r="E94"/>
      <c r="F94"/>
      <c r="Y94" s="15"/>
    </row>
    <row r="95" spans="1:27" s="2" customFormat="1">
      <c r="A95"/>
      <c r="B95"/>
      <c r="C95"/>
      <c r="D95"/>
      <c r="E95"/>
      <c r="F95"/>
      <c r="G95" s="15" t="s">
        <v>125</v>
      </c>
      <c r="J95" s="2">
        <f>X95/1.1</f>
        <v>58799.999999999993</v>
      </c>
      <c r="K95" s="40"/>
      <c r="L95" s="15"/>
      <c r="X95" s="15">
        <v>64680</v>
      </c>
      <c r="Y95" s="15"/>
    </row>
    <row r="96" spans="1:27" s="2" customFormat="1">
      <c r="A96"/>
      <c r="B96"/>
      <c r="C96"/>
      <c r="D96"/>
      <c r="E96"/>
      <c r="F96"/>
      <c r="G96" s="15" t="s">
        <v>49</v>
      </c>
      <c r="K96" s="40"/>
      <c r="L96" s="15"/>
      <c r="Q96" s="15" t="s">
        <v>174</v>
      </c>
      <c r="X96" s="15"/>
      <c r="Y96" s="15"/>
    </row>
    <row r="98" spans="1:25" s="2" customFormat="1">
      <c r="A98"/>
      <c r="B98"/>
      <c r="C98"/>
      <c r="D98"/>
      <c r="E98"/>
      <c r="F98"/>
      <c r="G98" s="15"/>
      <c r="L98" s="15"/>
      <c r="X98" s="15"/>
      <c r="Y98" s="15"/>
    </row>
    <row r="99" spans="1:25" s="2" customFormat="1">
      <c r="A99"/>
      <c r="B99"/>
      <c r="C99"/>
      <c r="D99"/>
      <c r="E99"/>
      <c r="F99"/>
      <c r="G99" s="15" t="s">
        <v>134</v>
      </c>
      <c r="L99" s="15"/>
      <c r="X99" s="15"/>
      <c r="Y99" s="15"/>
    </row>
    <row r="100" spans="1:25" s="2" customFormat="1">
      <c r="A100"/>
      <c r="B100"/>
      <c r="C100"/>
      <c r="D100"/>
      <c r="E100"/>
      <c r="F100"/>
      <c r="G100" s="15" t="s">
        <v>135</v>
      </c>
      <c r="L100" s="15"/>
      <c r="X100" s="15"/>
      <c r="Y100" s="15"/>
    </row>
    <row r="101" spans="1:25" s="2" customFormat="1">
      <c r="A101"/>
      <c r="B101"/>
      <c r="C101"/>
      <c r="D101"/>
      <c r="E101"/>
      <c r="F101"/>
      <c r="G101" s="15"/>
      <c r="J101" s="40"/>
      <c r="L101" s="15"/>
      <c r="X101" s="15"/>
      <c r="Y101" s="15"/>
    </row>
    <row r="102" spans="1:25" s="2" customFormat="1">
      <c r="A102"/>
      <c r="B102"/>
      <c r="C102"/>
      <c r="D102"/>
      <c r="E102"/>
      <c r="F102"/>
      <c r="G102" s="15" t="s">
        <v>69</v>
      </c>
      <c r="L102" s="15"/>
      <c r="X102" s="15"/>
      <c r="Y102" s="15"/>
    </row>
    <row r="103" spans="1:25" s="2" customFormat="1">
      <c r="A103"/>
      <c r="B103"/>
      <c r="C103"/>
      <c r="D103"/>
      <c r="E103"/>
      <c r="F103"/>
      <c r="G103" s="15"/>
      <c r="J103" s="41"/>
      <c r="L103" s="15"/>
      <c r="X103" s="15"/>
      <c r="Y103" s="15"/>
    </row>
    <row r="104" spans="1:25" s="2" customFormat="1">
      <c r="A104"/>
      <c r="B104"/>
      <c r="C104"/>
      <c r="D104"/>
      <c r="E104"/>
      <c r="F104"/>
      <c r="G104" s="15"/>
      <c r="L104" s="15"/>
      <c r="X104" s="15"/>
      <c r="Y104" s="15"/>
    </row>
    <row r="105" spans="1:25" s="2" customFormat="1">
      <c r="A105"/>
      <c r="B105"/>
      <c r="C105"/>
      <c r="D105"/>
      <c r="E105"/>
      <c r="F105"/>
      <c r="G105" s="15" t="s">
        <v>133</v>
      </c>
      <c r="L105" s="15"/>
      <c r="X105" s="15"/>
      <c r="Y105" s="15"/>
    </row>
    <row r="106" spans="1:25" s="2" customFormat="1">
      <c r="A106"/>
      <c r="B106"/>
      <c r="C106"/>
      <c r="D106"/>
      <c r="E106"/>
      <c r="F106"/>
      <c r="G106" s="15" t="s">
        <v>131</v>
      </c>
      <c r="L106" s="15"/>
      <c r="X106" s="15"/>
      <c r="Y106" s="15"/>
    </row>
    <row r="107" spans="1:25" s="2" customFormat="1">
      <c r="A107"/>
      <c r="B107"/>
      <c r="C107"/>
      <c r="D107"/>
      <c r="E107"/>
      <c r="F107"/>
      <c r="G107" s="15" t="s">
        <v>132</v>
      </c>
      <c r="L107" s="15"/>
      <c r="X107" s="15"/>
      <c r="Y107" s="15"/>
    </row>
    <row r="108" spans="1:25" s="2" customFormat="1">
      <c r="A108"/>
      <c r="B108"/>
      <c r="C108"/>
      <c r="D108"/>
      <c r="E108"/>
      <c r="F108"/>
      <c r="G108" s="15"/>
      <c r="J108" s="42"/>
      <c r="L108" s="15"/>
      <c r="X108" s="15"/>
      <c r="Y108" s="15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6924-3139-45A7-A2A1-9C08F3B85776}">
  <dimension ref="A1:H55"/>
  <sheetViews>
    <sheetView workbookViewId="0">
      <selection activeCell="J15" sqref="J15"/>
    </sheetView>
  </sheetViews>
  <sheetFormatPr defaultRowHeight="16.5"/>
  <cols>
    <col min="6" max="6" width="14" bestFit="1" customWidth="1"/>
    <col min="8" max="8" width="9" style="7"/>
  </cols>
  <sheetData>
    <row r="1" spans="1:8">
      <c r="C1" t="s">
        <v>75</v>
      </c>
      <c r="D1" t="s">
        <v>90</v>
      </c>
      <c r="E1" t="s">
        <v>25</v>
      </c>
      <c r="F1" t="s">
        <v>341</v>
      </c>
    </row>
    <row r="2" spans="1:8">
      <c r="A2" t="s">
        <v>342</v>
      </c>
      <c r="B2" s="159" t="s">
        <v>230</v>
      </c>
      <c r="C2" s="57"/>
      <c r="D2" s="57"/>
      <c r="E2" s="14">
        <v>3</v>
      </c>
      <c r="F2" s="12">
        <f>C2*$H$4+D2*$H$5+E2*$H$6</f>
        <v>16800</v>
      </c>
    </row>
    <row r="3" spans="1:8">
      <c r="B3" s="161" t="s">
        <v>232</v>
      </c>
      <c r="C3" s="163"/>
      <c r="D3" s="163"/>
      <c r="E3" s="141">
        <v>3</v>
      </c>
      <c r="F3" s="12">
        <f t="shared" ref="F3:F52" si="0">C3*$H$4+D3*$H$5+E3*$H$6</f>
        <v>16800</v>
      </c>
    </row>
    <row r="4" spans="1:8">
      <c r="B4" s="159" t="s">
        <v>234</v>
      </c>
      <c r="C4" s="57"/>
      <c r="D4" s="57"/>
      <c r="E4" s="14">
        <v>3</v>
      </c>
      <c r="F4" s="12">
        <f t="shared" si="0"/>
        <v>16800</v>
      </c>
      <c r="G4" t="s">
        <v>75</v>
      </c>
      <c r="H4" s="7">
        <f>45*7</f>
        <v>315</v>
      </c>
    </row>
    <row r="5" spans="1:8">
      <c r="B5" s="161" t="s">
        <v>236</v>
      </c>
      <c r="C5" s="163"/>
      <c r="D5" s="163"/>
      <c r="E5" s="141">
        <v>3</v>
      </c>
      <c r="F5" s="12">
        <f t="shared" si="0"/>
        <v>16800</v>
      </c>
      <c r="G5" t="s">
        <v>90</v>
      </c>
      <c r="H5" s="7">
        <f>50*7</f>
        <v>350</v>
      </c>
    </row>
    <row r="6" spans="1:8">
      <c r="B6" s="207" t="s">
        <v>238</v>
      </c>
      <c r="C6" s="57">
        <v>50</v>
      </c>
      <c r="D6" s="57">
        <v>50</v>
      </c>
      <c r="E6" s="14">
        <v>4</v>
      </c>
      <c r="F6" s="12">
        <f t="shared" si="0"/>
        <v>55650</v>
      </c>
      <c r="G6" t="s">
        <v>25</v>
      </c>
      <c r="H6" s="7">
        <f>7*800</f>
        <v>5600</v>
      </c>
    </row>
    <row r="7" spans="1:8">
      <c r="B7" s="207" t="s">
        <v>240</v>
      </c>
      <c r="C7" s="163">
        <v>50</v>
      </c>
      <c r="D7" s="164">
        <v>50</v>
      </c>
      <c r="E7" s="141">
        <v>4</v>
      </c>
      <c r="F7" s="12">
        <f t="shared" si="0"/>
        <v>55650</v>
      </c>
    </row>
    <row r="8" spans="1:8">
      <c r="B8" s="207" t="s">
        <v>242</v>
      </c>
      <c r="C8" s="57">
        <v>50</v>
      </c>
      <c r="D8" s="160">
        <v>50</v>
      </c>
      <c r="E8" s="14">
        <v>4</v>
      </c>
      <c r="F8" s="12">
        <f t="shared" si="0"/>
        <v>55650</v>
      </c>
    </row>
    <row r="9" spans="1:8">
      <c r="B9" s="207" t="s">
        <v>244</v>
      </c>
      <c r="C9" s="163">
        <v>50</v>
      </c>
      <c r="D9" s="164">
        <v>50</v>
      </c>
      <c r="E9" s="141">
        <v>4</v>
      </c>
      <c r="F9" s="12">
        <f t="shared" si="0"/>
        <v>55650</v>
      </c>
    </row>
    <row r="10" spans="1:8">
      <c r="B10" s="207" t="s">
        <v>246</v>
      </c>
      <c r="C10" s="57"/>
      <c r="D10" s="57"/>
      <c r="E10" s="14">
        <v>3</v>
      </c>
      <c r="F10" s="12">
        <f t="shared" si="0"/>
        <v>16800</v>
      </c>
    </row>
    <row r="11" spans="1:8">
      <c r="B11" s="207" t="s">
        <v>248</v>
      </c>
      <c r="C11" s="162">
        <v>50</v>
      </c>
      <c r="D11" s="163">
        <v>50</v>
      </c>
      <c r="E11" s="141">
        <v>3</v>
      </c>
      <c r="F11" s="12">
        <f t="shared" si="0"/>
        <v>50050</v>
      </c>
    </row>
    <row r="12" spans="1:8">
      <c r="B12" s="207" t="s">
        <v>250</v>
      </c>
      <c r="C12" s="29">
        <v>50</v>
      </c>
      <c r="D12" s="57">
        <v>50</v>
      </c>
      <c r="E12" s="14">
        <v>4</v>
      </c>
      <c r="F12" s="12">
        <f t="shared" si="0"/>
        <v>55650</v>
      </c>
    </row>
    <row r="13" spans="1:8">
      <c r="B13" s="207" t="s">
        <v>252</v>
      </c>
      <c r="C13" s="162">
        <v>50</v>
      </c>
      <c r="D13" s="163">
        <v>50</v>
      </c>
      <c r="E13" s="141">
        <v>3</v>
      </c>
      <c r="F13" s="12">
        <f t="shared" si="0"/>
        <v>50050</v>
      </c>
    </row>
    <row r="14" spans="1:8">
      <c r="F14" s="212">
        <f>SUM(F2:F13)</f>
        <v>462350</v>
      </c>
    </row>
    <row r="15" spans="1:8">
      <c r="A15" t="s">
        <v>343</v>
      </c>
      <c r="B15" s="159" t="s">
        <v>230</v>
      </c>
      <c r="C15" s="57"/>
      <c r="D15" s="57"/>
      <c r="E15" s="14">
        <v>4</v>
      </c>
      <c r="F15" s="12">
        <f t="shared" si="0"/>
        <v>22400</v>
      </c>
    </row>
    <row r="16" spans="1:8">
      <c r="B16" s="161" t="s">
        <v>232</v>
      </c>
      <c r="C16" s="163"/>
      <c r="D16" s="163"/>
      <c r="E16" s="141">
        <v>4</v>
      </c>
      <c r="F16" s="12">
        <f t="shared" si="0"/>
        <v>22400</v>
      </c>
    </row>
    <row r="17" spans="1:6">
      <c r="B17" s="159" t="s">
        <v>234</v>
      </c>
      <c r="C17" s="57"/>
      <c r="D17" s="57"/>
      <c r="E17" s="14">
        <v>4</v>
      </c>
      <c r="F17" s="12">
        <f t="shared" si="0"/>
        <v>22400</v>
      </c>
    </row>
    <row r="18" spans="1:6">
      <c r="B18" s="161" t="s">
        <v>236</v>
      </c>
      <c r="C18" s="163"/>
      <c r="D18" s="163"/>
      <c r="E18" s="141">
        <v>6</v>
      </c>
      <c r="F18" s="12">
        <f t="shared" si="0"/>
        <v>33600</v>
      </c>
    </row>
    <row r="19" spans="1:6">
      <c r="B19" s="207" t="s">
        <v>238</v>
      </c>
      <c r="C19" s="57">
        <v>50</v>
      </c>
      <c r="D19" s="57">
        <v>50</v>
      </c>
      <c r="E19" s="14">
        <v>6</v>
      </c>
      <c r="F19" s="12">
        <f t="shared" si="0"/>
        <v>66850</v>
      </c>
    </row>
    <row r="20" spans="1:6">
      <c r="B20" s="207" t="s">
        <v>240</v>
      </c>
      <c r="C20" s="163">
        <v>50</v>
      </c>
      <c r="D20" s="164">
        <v>50</v>
      </c>
      <c r="E20" s="141">
        <v>6</v>
      </c>
      <c r="F20" s="12">
        <f t="shared" si="0"/>
        <v>66850</v>
      </c>
    </row>
    <row r="21" spans="1:6">
      <c r="B21" s="207" t="s">
        <v>242</v>
      </c>
      <c r="C21" s="57">
        <v>50</v>
      </c>
      <c r="D21" s="160">
        <v>50</v>
      </c>
      <c r="E21" s="14">
        <v>6</v>
      </c>
      <c r="F21" s="12">
        <f t="shared" si="0"/>
        <v>66850</v>
      </c>
    </row>
    <row r="22" spans="1:6">
      <c r="B22" s="207" t="s">
        <v>244</v>
      </c>
      <c r="C22" s="163">
        <v>50</v>
      </c>
      <c r="D22" s="164">
        <v>50</v>
      </c>
      <c r="E22" s="141">
        <v>6</v>
      </c>
      <c r="F22" s="12">
        <f t="shared" si="0"/>
        <v>66850</v>
      </c>
    </row>
    <row r="23" spans="1:6">
      <c r="B23" s="207" t="s">
        <v>246</v>
      </c>
      <c r="C23" s="57"/>
      <c r="D23" s="57"/>
      <c r="E23" s="14">
        <v>6</v>
      </c>
      <c r="F23" s="12">
        <f t="shared" si="0"/>
        <v>33600</v>
      </c>
    </row>
    <row r="24" spans="1:6">
      <c r="B24" s="207" t="s">
        <v>248</v>
      </c>
      <c r="C24" s="162">
        <v>50</v>
      </c>
      <c r="D24" s="163">
        <v>50</v>
      </c>
      <c r="E24" s="141"/>
      <c r="F24" s="12">
        <f t="shared" si="0"/>
        <v>33250</v>
      </c>
    </row>
    <row r="25" spans="1:6">
      <c r="B25" s="207" t="s">
        <v>250</v>
      </c>
      <c r="C25" s="29">
        <v>50</v>
      </c>
      <c r="D25" s="57">
        <v>50</v>
      </c>
      <c r="E25" s="14">
        <v>6</v>
      </c>
      <c r="F25" s="12">
        <f t="shared" si="0"/>
        <v>66850</v>
      </c>
    </row>
    <row r="26" spans="1:6">
      <c r="B26" s="207" t="s">
        <v>252</v>
      </c>
      <c r="C26" s="162">
        <v>50</v>
      </c>
      <c r="D26" s="163">
        <v>50</v>
      </c>
      <c r="E26" s="141"/>
      <c r="F26" s="12">
        <f t="shared" si="0"/>
        <v>33250</v>
      </c>
    </row>
    <row r="27" spans="1:6">
      <c r="F27" s="212">
        <f>SUM(F15:F26)</f>
        <v>535150</v>
      </c>
    </row>
    <row r="28" spans="1:6">
      <c r="A28" t="s">
        <v>344</v>
      </c>
      <c r="B28" s="161" t="s">
        <v>230</v>
      </c>
      <c r="C28" s="162"/>
      <c r="D28" s="163"/>
      <c r="E28" s="208">
        <v>7</v>
      </c>
      <c r="F28" s="12">
        <f t="shared" si="0"/>
        <v>39200</v>
      </c>
    </row>
    <row r="29" spans="1:6">
      <c r="B29" s="159" t="s">
        <v>232</v>
      </c>
      <c r="C29" s="29"/>
      <c r="D29" s="57"/>
      <c r="E29" s="5">
        <v>6</v>
      </c>
      <c r="F29" s="12">
        <f t="shared" si="0"/>
        <v>33600</v>
      </c>
    </row>
    <row r="30" spans="1:6">
      <c r="B30" s="161" t="s">
        <v>234</v>
      </c>
      <c r="C30" s="162"/>
      <c r="D30" s="163"/>
      <c r="E30" s="208">
        <v>5</v>
      </c>
      <c r="F30" s="12">
        <f t="shared" si="0"/>
        <v>28000</v>
      </c>
    </row>
    <row r="31" spans="1:6">
      <c r="B31" s="159" t="s">
        <v>236</v>
      </c>
      <c r="C31" s="29"/>
      <c r="D31" s="57"/>
      <c r="E31" s="5">
        <v>8</v>
      </c>
      <c r="F31" s="12">
        <f t="shared" si="0"/>
        <v>44800</v>
      </c>
    </row>
    <row r="32" spans="1:6">
      <c r="B32" s="207" t="s">
        <v>238</v>
      </c>
      <c r="C32" s="162">
        <v>100</v>
      </c>
      <c r="D32" s="163">
        <v>50</v>
      </c>
      <c r="E32" s="208">
        <v>10</v>
      </c>
      <c r="F32" s="12">
        <f t="shared" si="0"/>
        <v>105000</v>
      </c>
    </row>
    <row r="33" spans="1:6">
      <c r="B33" s="207" t="s">
        <v>240</v>
      </c>
      <c r="C33" s="29">
        <v>100</v>
      </c>
      <c r="D33" s="160">
        <v>50</v>
      </c>
      <c r="E33" s="5">
        <v>10</v>
      </c>
      <c r="F33" s="12">
        <f t="shared" si="0"/>
        <v>105000</v>
      </c>
    </row>
    <row r="34" spans="1:6">
      <c r="B34" s="207" t="s">
        <v>242</v>
      </c>
      <c r="C34" s="162">
        <v>100</v>
      </c>
      <c r="D34" s="164">
        <v>50</v>
      </c>
      <c r="E34" s="208">
        <v>10</v>
      </c>
      <c r="F34" s="12">
        <f t="shared" si="0"/>
        <v>105000</v>
      </c>
    </row>
    <row r="35" spans="1:6">
      <c r="B35" s="207" t="s">
        <v>244</v>
      </c>
      <c r="C35" s="29"/>
      <c r="D35" s="160"/>
      <c r="E35" s="5">
        <v>9</v>
      </c>
      <c r="F35" s="12">
        <f t="shared" si="0"/>
        <v>50400</v>
      </c>
    </row>
    <row r="36" spans="1:6">
      <c r="B36" s="207" t="s">
        <v>246</v>
      </c>
      <c r="C36" s="162"/>
      <c r="D36" s="163"/>
      <c r="E36" s="208">
        <v>10</v>
      </c>
      <c r="F36" s="12">
        <f t="shared" si="0"/>
        <v>56000</v>
      </c>
    </row>
    <row r="37" spans="1:6">
      <c r="B37" s="207" t="s">
        <v>248</v>
      </c>
      <c r="C37" s="29">
        <v>50</v>
      </c>
      <c r="D37" s="57"/>
      <c r="E37" s="5">
        <v>8</v>
      </c>
      <c r="F37" s="12">
        <f t="shared" si="0"/>
        <v>60550</v>
      </c>
    </row>
    <row r="38" spans="1:6">
      <c r="B38" s="207" t="s">
        <v>250</v>
      </c>
      <c r="C38" s="162">
        <v>50</v>
      </c>
      <c r="D38" s="163"/>
      <c r="E38" s="208">
        <v>8</v>
      </c>
      <c r="F38" s="12">
        <f t="shared" si="0"/>
        <v>60550</v>
      </c>
    </row>
    <row r="39" spans="1:6">
      <c r="B39" s="207" t="s">
        <v>252</v>
      </c>
      <c r="C39" s="29">
        <v>50</v>
      </c>
      <c r="D39" s="57"/>
      <c r="E39" s="5">
        <v>6</v>
      </c>
      <c r="F39" s="12">
        <f t="shared" si="0"/>
        <v>49350</v>
      </c>
    </row>
    <row r="40" spans="1:6">
      <c r="F40" s="212">
        <f>SUM(F28:F39)</f>
        <v>737450</v>
      </c>
    </row>
    <row r="41" spans="1:6">
      <c r="A41" t="s">
        <v>345</v>
      </c>
      <c r="B41" s="161" t="s">
        <v>230</v>
      </c>
      <c r="C41" s="162"/>
      <c r="D41" s="163"/>
      <c r="E41" s="141">
        <v>7</v>
      </c>
      <c r="F41" s="12">
        <f t="shared" si="0"/>
        <v>39200</v>
      </c>
    </row>
    <row r="42" spans="1:6">
      <c r="B42" s="159" t="s">
        <v>232</v>
      </c>
      <c r="C42" s="29"/>
      <c r="D42" s="57"/>
      <c r="E42" s="14">
        <v>6</v>
      </c>
      <c r="F42" s="12">
        <f t="shared" si="0"/>
        <v>33600</v>
      </c>
    </row>
    <row r="43" spans="1:6">
      <c r="B43" s="161" t="s">
        <v>234</v>
      </c>
      <c r="C43" s="162"/>
      <c r="D43" s="163"/>
      <c r="E43" s="141">
        <v>5</v>
      </c>
      <c r="F43" s="12">
        <f t="shared" si="0"/>
        <v>28000</v>
      </c>
    </row>
    <row r="44" spans="1:6">
      <c r="B44" s="159" t="s">
        <v>236</v>
      </c>
      <c r="C44" s="29"/>
      <c r="D44" s="57"/>
      <c r="E44" s="14">
        <v>8</v>
      </c>
      <c r="F44" s="12">
        <f t="shared" si="0"/>
        <v>44800</v>
      </c>
    </row>
    <row r="45" spans="1:6">
      <c r="B45" s="207" t="s">
        <v>238</v>
      </c>
      <c r="C45" s="162"/>
      <c r="D45" s="163"/>
      <c r="E45" s="141">
        <v>8</v>
      </c>
      <c r="F45" s="12">
        <f t="shared" si="0"/>
        <v>44800</v>
      </c>
    </row>
    <row r="46" spans="1:6">
      <c r="B46" s="207" t="s">
        <v>240</v>
      </c>
      <c r="C46" s="29"/>
      <c r="D46" s="57"/>
      <c r="E46" s="14">
        <v>9</v>
      </c>
      <c r="F46" s="12">
        <f t="shared" si="0"/>
        <v>50400</v>
      </c>
    </row>
    <row r="47" spans="1:6">
      <c r="B47" s="207" t="s">
        <v>242</v>
      </c>
      <c r="C47" s="162"/>
      <c r="D47" s="163"/>
      <c r="E47" s="141">
        <v>9</v>
      </c>
      <c r="F47" s="12">
        <f t="shared" si="0"/>
        <v>50400</v>
      </c>
    </row>
    <row r="48" spans="1:6">
      <c r="B48" s="207" t="s">
        <v>244</v>
      </c>
      <c r="C48" s="29"/>
      <c r="D48" s="57"/>
      <c r="E48" s="14">
        <v>9</v>
      </c>
      <c r="F48" s="12">
        <f t="shared" si="0"/>
        <v>50400</v>
      </c>
    </row>
    <row r="49" spans="2:6">
      <c r="B49" s="207" t="s">
        <v>246</v>
      </c>
      <c r="C49" s="162"/>
      <c r="D49" s="163"/>
      <c r="E49" s="141">
        <v>10</v>
      </c>
      <c r="F49" s="12">
        <f t="shared" si="0"/>
        <v>56000</v>
      </c>
    </row>
    <row r="50" spans="2:6">
      <c r="B50" s="207" t="s">
        <v>248</v>
      </c>
      <c r="C50" s="29"/>
      <c r="D50" s="57"/>
      <c r="E50" s="14">
        <v>8</v>
      </c>
      <c r="F50" s="12">
        <f t="shared" si="0"/>
        <v>44800</v>
      </c>
    </row>
    <row r="51" spans="2:6">
      <c r="B51" s="207" t="s">
        <v>250</v>
      </c>
      <c r="C51" s="162"/>
      <c r="D51" s="163"/>
      <c r="E51" s="141">
        <v>8</v>
      </c>
      <c r="F51" s="12">
        <f t="shared" si="0"/>
        <v>44800</v>
      </c>
    </row>
    <row r="52" spans="2:6">
      <c r="B52" s="207" t="s">
        <v>252</v>
      </c>
      <c r="C52" s="209"/>
      <c r="D52" s="210"/>
      <c r="E52" s="165">
        <v>6</v>
      </c>
      <c r="F52" s="12">
        <f t="shared" si="0"/>
        <v>33600</v>
      </c>
    </row>
    <row r="53" spans="2:6">
      <c r="F53" s="211">
        <f>SUM(F41:F52)</f>
        <v>520800</v>
      </c>
    </row>
    <row r="55" spans="2:6">
      <c r="F55" s="12">
        <f>F53+F40+F27+F14</f>
        <v>2255750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E18F-78BC-4AA2-B1B3-C8CEF27927FC}">
  <dimension ref="A1:T28"/>
  <sheetViews>
    <sheetView topLeftCell="D12" workbookViewId="0">
      <selection activeCell="J26" sqref="J26"/>
    </sheetView>
  </sheetViews>
  <sheetFormatPr defaultRowHeight="16.5"/>
  <cols>
    <col min="1" max="1" width="13.25" customWidth="1"/>
    <col min="2" max="2" width="9.375" customWidth="1"/>
    <col min="3" max="3" width="19.875" style="2" customWidth="1"/>
    <col min="4" max="4" width="22.625" customWidth="1"/>
    <col min="5" max="5" width="31.125" customWidth="1"/>
    <col min="6" max="6" width="9.875" style="2" bestFit="1" customWidth="1"/>
    <col min="7" max="13" width="8.625" style="2" customWidth="1"/>
    <col min="14" max="14" width="4.75" style="2" customWidth="1"/>
    <col min="15" max="15" width="9.875" bestFit="1" customWidth="1"/>
    <col min="16" max="17" width="7.125" bestFit="1" customWidth="1"/>
  </cols>
  <sheetData>
    <row r="1" spans="1:20">
      <c r="A1" s="138"/>
      <c r="B1" s="138"/>
      <c r="C1" s="138"/>
    </row>
    <row r="2" spans="1:20" ht="17.25" thickBot="1">
      <c r="A2" s="139"/>
      <c r="B2" s="140"/>
      <c r="C2" s="137"/>
      <c r="D2" s="141"/>
      <c r="F2" s="182">
        <v>45940</v>
      </c>
      <c r="O2" s="181">
        <v>45933</v>
      </c>
    </row>
    <row r="3" spans="1:20" s="2" customFormat="1" ht="27">
      <c r="A3" s="144" t="s">
        <v>266</v>
      </c>
      <c r="B3" s="144" t="s">
        <v>267</v>
      </c>
      <c r="C3" s="144" t="s">
        <v>268</v>
      </c>
      <c r="D3" s="144" t="s">
        <v>269</v>
      </c>
      <c r="E3" s="144" t="s">
        <v>272</v>
      </c>
      <c r="F3" s="144" t="s">
        <v>273</v>
      </c>
      <c r="G3" s="183" t="s">
        <v>312</v>
      </c>
      <c r="H3" s="184" t="s">
        <v>318</v>
      </c>
      <c r="I3" s="184" t="s">
        <v>315</v>
      </c>
      <c r="J3" s="184" t="s">
        <v>317</v>
      </c>
      <c r="K3" s="185" t="s">
        <v>316</v>
      </c>
      <c r="L3" s="184" t="s">
        <v>313</v>
      </c>
      <c r="M3" s="185" t="s">
        <v>314</v>
      </c>
      <c r="N3" s="184"/>
      <c r="O3" s="192" t="s">
        <v>104</v>
      </c>
      <c r="P3" s="193" t="s">
        <v>149</v>
      </c>
      <c r="Q3" s="193" t="s">
        <v>150</v>
      </c>
      <c r="R3" s="193" t="s">
        <v>26</v>
      </c>
      <c r="S3" s="184" t="s">
        <v>313</v>
      </c>
      <c r="T3" s="185" t="s">
        <v>314</v>
      </c>
    </row>
    <row r="4" spans="1:20" ht="33">
      <c r="A4" s="143" t="s">
        <v>270</v>
      </c>
      <c r="B4" s="142" t="s">
        <v>180</v>
      </c>
      <c r="C4" s="144">
        <v>1022013892</v>
      </c>
      <c r="D4" s="146" t="s">
        <v>296</v>
      </c>
      <c r="E4" s="143" t="s">
        <v>274</v>
      </c>
      <c r="F4" s="145">
        <v>10</v>
      </c>
      <c r="G4" s="186">
        <f>F4*7</f>
        <v>70</v>
      </c>
      <c r="H4" s="145"/>
      <c r="I4" s="145">
        <f>F4*5</f>
        <v>50</v>
      </c>
      <c r="J4" s="145">
        <v>50</v>
      </c>
      <c r="K4" s="187"/>
      <c r="L4" s="145">
        <v>2</v>
      </c>
      <c r="M4" s="187"/>
      <c r="N4" s="145"/>
      <c r="O4" s="194">
        <v>10</v>
      </c>
      <c r="P4">
        <v>10</v>
      </c>
      <c r="S4" s="145">
        <v>2</v>
      </c>
      <c r="T4" s="145">
        <v>2</v>
      </c>
    </row>
    <row r="5" spans="1:20" ht="27">
      <c r="A5" s="143" t="s">
        <v>270</v>
      </c>
      <c r="B5" s="142" t="s">
        <v>202</v>
      </c>
      <c r="C5" s="173">
        <v>1258228694</v>
      </c>
      <c r="D5" s="174" t="s">
        <v>262</v>
      </c>
      <c r="E5" s="175" t="s">
        <v>275</v>
      </c>
      <c r="F5" s="176">
        <v>5</v>
      </c>
      <c r="G5" s="186">
        <f>F5*7</f>
        <v>35</v>
      </c>
      <c r="H5" s="145"/>
      <c r="I5" s="145"/>
      <c r="J5" s="145">
        <v>50</v>
      </c>
      <c r="K5" s="187"/>
      <c r="L5" s="179">
        <v>3</v>
      </c>
      <c r="M5" s="187"/>
      <c r="N5" s="145"/>
      <c r="O5" s="195">
        <v>5</v>
      </c>
      <c r="P5" s="177">
        <v>5</v>
      </c>
      <c r="S5" s="145">
        <v>1</v>
      </c>
      <c r="T5" s="145">
        <v>3</v>
      </c>
    </row>
    <row r="6" spans="1:20" ht="27">
      <c r="A6" s="143" t="s">
        <v>270</v>
      </c>
      <c r="B6" s="142" t="s">
        <v>204</v>
      </c>
      <c r="C6" s="144">
        <v>1499577742</v>
      </c>
      <c r="D6" s="140" t="s">
        <v>263</v>
      </c>
      <c r="E6" s="143" t="s">
        <v>276</v>
      </c>
      <c r="F6" s="145">
        <v>5</v>
      </c>
      <c r="G6" s="186">
        <f>F6*7</f>
        <v>35</v>
      </c>
      <c r="H6" s="145"/>
      <c r="I6" s="145">
        <f>F6*5</f>
        <v>25</v>
      </c>
      <c r="J6" s="145"/>
      <c r="K6" s="187"/>
      <c r="L6" s="145">
        <v>2</v>
      </c>
      <c r="M6" s="187"/>
      <c r="N6" s="145"/>
      <c r="O6" s="194">
        <v>5</v>
      </c>
      <c r="P6">
        <v>5</v>
      </c>
      <c r="S6" s="145">
        <v>3</v>
      </c>
      <c r="T6" s="145">
        <v>2</v>
      </c>
    </row>
    <row r="7" spans="1:20" ht="27">
      <c r="A7" s="143" t="s">
        <v>270</v>
      </c>
      <c r="B7" s="142" t="s">
        <v>206</v>
      </c>
      <c r="C7" s="144">
        <v>1881917537</v>
      </c>
      <c r="D7" s="140" t="s">
        <v>264</v>
      </c>
      <c r="E7" s="143" t="s">
        <v>277</v>
      </c>
      <c r="F7" s="145">
        <v>5</v>
      </c>
      <c r="G7" s="186">
        <f>F7*7</f>
        <v>35</v>
      </c>
      <c r="H7" s="145"/>
      <c r="I7" s="145">
        <f>F7*5</f>
        <v>25</v>
      </c>
      <c r="J7" s="145"/>
      <c r="K7" s="187"/>
      <c r="L7" s="145">
        <v>8</v>
      </c>
      <c r="M7" s="187"/>
      <c r="N7" s="145"/>
      <c r="O7" s="194">
        <v>5</v>
      </c>
      <c r="P7">
        <v>5</v>
      </c>
      <c r="S7" s="145">
        <v>9</v>
      </c>
      <c r="T7" s="145">
        <v>8</v>
      </c>
    </row>
    <row r="8" spans="1:20" ht="27">
      <c r="A8" s="143" t="s">
        <v>270</v>
      </c>
      <c r="B8" s="142" t="s">
        <v>208</v>
      </c>
      <c r="C8" s="173">
        <v>1287821286</v>
      </c>
      <c r="D8" s="174" t="s">
        <v>265</v>
      </c>
      <c r="E8" s="175" t="s">
        <v>278</v>
      </c>
      <c r="F8" s="176">
        <v>10</v>
      </c>
      <c r="G8" s="186">
        <f>F8*7</f>
        <v>70</v>
      </c>
      <c r="H8" s="145"/>
      <c r="I8" s="145">
        <f>F8*5</f>
        <v>50</v>
      </c>
      <c r="J8" s="145"/>
      <c r="K8" s="187">
        <v>50</v>
      </c>
      <c r="L8" s="145">
        <v>3</v>
      </c>
      <c r="M8" s="187"/>
      <c r="N8" s="145"/>
      <c r="O8" s="195">
        <v>10</v>
      </c>
      <c r="P8" s="177">
        <v>10</v>
      </c>
      <c r="Q8" s="177">
        <v>10</v>
      </c>
      <c r="S8" s="145">
        <v>6</v>
      </c>
      <c r="T8" s="145">
        <v>3</v>
      </c>
    </row>
    <row r="9" spans="1:20">
      <c r="A9" s="143"/>
      <c r="B9" s="142"/>
      <c r="C9" s="144"/>
      <c r="D9" s="140"/>
      <c r="E9" s="143"/>
      <c r="F9" s="145"/>
      <c r="G9" s="186"/>
      <c r="H9" s="145"/>
      <c r="I9" s="145"/>
      <c r="J9" s="145"/>
      <c r="K9" s="187"/>
      <c r="L9" s="145"/>
      <c r="M9" s="187"/>
      <c r="N9" s="145"/>
      <c r="O9" s="194"/>
      <c r="S9" s="145"/>
      <c r="T9" s="145"/>
    </row>
    <row r="10" spans="1:20">
      <c r="A10" s="143"/>
      <c r="B10" s="142"/>
      <c r="C10" s="144"/>
      <c r="D10" s="140"/>
      <c r="E10" s="143"/>
      <c r="F10" s="145"/>
      <c r="G10" s="186"/>
      <c r="H10" s="145"/>
      <c r="I10" s="145"/>
      <c r="J10" s="145"/>
      <c r="K10" s="187"/>
      <c r="L10" s="145"/>
      <c r="M10" s="187"/>
      <c r="N10" s="145"/>
      <c r="O10" s="194"/>
      <c r="S10" s="145"/>
      <c r="T10" s="145"/>
    </row>
    <row r="11" spans="1:20" ht="27">
      <c r="A11" s="143" t="s">
        <v>201</v>
      </c>
      <c r="B11" s="142" t="s">
        <v>229</v>
      </c>
      <c r="C11" s="144">
        <v>1994080073</v>
      </c>
      <c r="D11" s="140" t="s">
        <v>254</v>
      </c>
      <c r="E11" s="143" t="s">
        <v>280</v>
      </c>
      <c r="F11" s="145">
        <v>7</v>
      </c>
      <c r="G11" s="188">
        <v>42</v>
      </c>
      <c r="H11" s="179"/>
      <c r="I11" s="145"/>
      <c r="J11" s="145"/>
      <c r="K11" s="187"/>
      <c r="L11" s="145">
        <v>1</v>
      </c>
      <c r="M11" s="187"/>
      <c r="N11" s="145"/>
      <c r="O11" s="194">
        <v>7</v>
      </c>
      <c r="S11" s="145">
        <v>1</v>
      </c>
      <c r="T11" s="145">
        <v>1</v>
      </c>
    </row>
    <row r="12" spans="1:20" ht="25.5">
      <c r="A12" s="143" t="s">
        <v>201</v>
      </c>
      <c r="B12" s="142" t="s">
        <v>231</v>
      </c>
      <c r="C12" s="144">
        <v>1884514899</v>
      </c>
      <c r="D12" s="140" t="s">
        <v>255</v>
      </c>
      <c r="E12" s="143" t="s">
        <v>281</v>
      </c>
      <c r="F12" s="145">
        <v>6</v>
      </c>
      <c r="G12" s="188">
        <v>42</v>
      </c>
      <c r="H12" s="179"/>
      <c r="I12" s="145"/>
      <c r="J12" s="145"/>
      <c r="K12" s="187"/>
      <c r="L12" s="145">
        <v>2</v>
      </c>
      <c r="M12" s="187"/>
      <c r="N12" s="145"/>
      <c r="O12" s="194">
        <v>6</v>
      </c>
      <c r="S12" s="145">
        <v>2</v>
      </c>
      <c r="T12" s="145">
        <v>2</v>
      </c>
    </row>
    <row r="13" spans="1:20" ht="25.5">
      <c r="A13" s="143" t="s">
        <v>201</v>
      </c>
      <c r="B13" s="142" t="s">
        <v>233</v>
      </c>
      <c r="C13" s="144">
        <v>1282482674</v>
      </c>
      <c r="D13" s="140" t="s">
        <v>256</v>
      </c>
      <c r="E13" s="143" t="s">
        <v>282</v>
      </c>
      <c r="F13" s="145">
        <v>5</v>
      </c>
      <c r="G13" s="188">
        <v>35</v>
      </c>
      <c r="H13" s="179"/>
      <c r="I13" s="145"/>
      <c r="J13" s="145"/>
      <c r="K13" s="187"/>
      <c r="L13" s="145">
        <v>1</v>
      </c>
      <c r="M13" s="187"/>
      <c r="N13" s="145"/>
      <c r="O13" s="194"/>
      <c r="P13">
        <v>5</v>
      </c>
      <c r="S13" s="145">
        <v>1</v>
      </c>
      <c r="T13" s="145">
        <v>1</v>
      </c>
    </row>
    <row r="14" spans="1:20" s="152" customFormat="1" ht="26.25" thickBot="1">
      <c r="A14" s="147" t="s">
        <v>201</v>
      </c>
      <c r="B14" s="148" t="s">
        <v>235</v>
      </c>
      <c r="C14" s="149">
        <v>960874888</v>
      </c>
      <c r="D14" s="150" t="s">
        <v>257</v>
      </c>
      <c r="E14" s="147" t="s">
        <v>283</v>
      </c>
      <c r="F14" s="151">
        <v>8</v>
      </c>
      <c r="G14" s="186">
        <f t="shared" ref="G14:G21" si="0">F14*3</f>
        <v>24</v>
      </c>
      <c r="H14" s="145"/>
      <c r="I14" s="145">
        <f>F14*5</f>
        <v>40</v>
      </c>
      <c r="J14" s="145"/>
      <c r="K14" s="187"/>
      <c r="L14" s="145">
        <v>1</v>
      </c>
      <c r="M14" s="187"/>
      <c r="N14" s="145"/>
      <c r="O14" s="196"/>
      <c r="P14" s="152">
        <v>8</v>
      </c>
      <c r="S14" s="145">
        <v>1</v>
      </c>
      <c r="T14" s="145">
        <v>1</v>
      </c>
    </row>
    <row r="15" spans="1:20" ht="26.25" thickTop="1">
      <c r="A15" s="143" t="s">
        <v>201</v>
      </c>
      <c r="B15" s="142" t="s">
        <v>237</v>
      </c>
      <c r="C15" s="144">
        <v>1280284535</v>
      </c>
      <c r="D15" s="140" t="s">
        <v>258</v>
      </c>
      <c r="E15" s="178" t="s">
        <v>284</v>
      </c>
      <c r="F15" s="179">
        <v>10</v>
      </c>
      <c r="G15" s="186">
        <f t="shared" si="0"/>
        <v>30</v>
      </c>
      <c r="H15" s="145"/>
      <c r="I15" s="145"/>
      <c r="J15" s="145"/>
      <c r="K15" s="187">
        <f>F15*5</f>
        <v>50</v>
      </c>
      <c r="L15" s="145">
        <v>4</v>
      </c>
      <c r="M15" s="187"/>
      <c r="N15" s="145"/>
      <c r="O15" s="197">
        <v>8</v>
      </c>
      <c r="P15" s="180"/>
      <c r="S15" s="145">
        <v>4</v>
      </c>
      <c r="T15" s="145">
        <v>4</v>
      </c>
    </row>
    <row r="16" spans="1:20" ht="33">
      <c r="A16" s="143" t="s">
        <v>201</v>
      </c>
      <c r="B16" s="142" t="s">
        <v>239</v>
      </c>
      <c r="C16" s="144">
        <v>343551212</v>
      </c>
      <c r="D16" s="146" t="s">
        <v>292</v>
      </c>
      <c r="E16" s="178" t="s">
        <v>285</v>
      </c>
      <c r="F16" s="179">
        <v>10</v>
      </c>
      <c r="G16" s="186">
        <f t="shared" si="0"/>
        <v>30</v>
      </c>
      <c r="H16" s="145"/>
      <c r="I16" s="145">
        <v>50</v>
      </c>
      <c r="J16" s="145"/>
      <c r="K16" s="187"/>
      <c r="L16" s="145">
        <v>4</v>
      </c>
      <c r="M16" s="187"/>
      <c r="N16" s="145"/>
      <c r="O16" s="197">
        <v>9</v>
      </c>
      <c r="P16" s="180"/>
      <c r="S16" s="145">
        <v>3</v>
      </c>
      <c r="T16" s="145">
        <v>4</v>
      </c>
    </row>
    <row r="17" spans="1:20" ht="25.5">
      <c r="A17" s="143" t="s">
        <v>201</v>
      </c>
      <c r="B17" s="142" t="s">
        <v>241</v>
      </c>
      <c r="C17" s="144">
        <v>1588177165</v>
      </c>
      <c r="D17" s="140" t="s">
        <v>259</v>
      </c>
      <c r="E17" s="178" t="s">
        <v>286</v>
      </c>
      <c r="F17" s="179">
        <v>10</v>
      </c>
      <c r="G17" s="186">
        <f t="shared" si="0"/>
        <v>30</v>
      </c>
      <c r="H17" s="145"/>
      <c r="I17" s="145"/>
      <c r="J17" s="145">
        <v>50</v>
      </c>
      <c r="K17" s="187"/>
      <c r="L17" s="145">
        <v>5</v>
      </c>
      <c r="M17" s="187"/>
      <c r="N17" s="145"/>
      <c r="O17" s="197"/>
      <c r="P17" s="180">
        <v>9</v>
      </c>
      <c r="S17" s="145">
        <v>5</v>
      </c>
      <c r="T17" s="145">
        <v>5</v>
      </c>
    </row>
    <row r="18" spans="1:20" ht="27">
      <c r="A18" s="143" t="s">
        <v>201</v>
      </c>
      <c r="B18" s="142" t="s">
        <v>243</v>
      </c>
      <c r="C18" s="144">
        <v>1516336456</v>
      </c>
      <c r="D18" s="140" t="s">
        <v>260</v>
      </c>
      <c r="E18" s="143" t="s">
        <v>287</v>
      </c>
      <c r="F18" s="145">
        <v>9</v>
      </c>
      <c r="G18" s="186">
        <f t="shared" si="0"/>
        <v>27</v>
      </c>
      <c r="H18" s="145">
        <v>45</v>
      </c>
      <c r="I18" s="145"/>
      <c r="J18" s="145"/>
      <c r="K18" s="187"/>
      <c r="L18" s="145">
        <v>3</v>
      </c>
      <c r="M18" s="187"/>
      <c r="N18" s="145"/>
      <c r="O18" s="194"/>
      <c r="P18">
        <v>9</v>
      </c>
      <c r="S18" s="145">
        <v>3</v>
      </c>
      <c r="T18" s="145">
        <v>3</v>
      </c>
    </row>
    <row r="19" spans="1:20" s="152" customFormat="1" ht="50.25" thickBot="1">
      <c r="A19" s="147" t="s">
        <v>201</v>
      </c>
      <c r="B19" s="148" t="s">
        <v>245</v>
      </c>
      <c r="C19" s="149">
        <v>2188895935</v>
      </c>
      <c r="D19" s="154" t="s">
        <v>293</v>
      </c>
      <c r="E19" s="147" t="s">
        <v>288</v>
      </c>
      <c r="F19" s="151">
        <v>10</v>
      </c>
      <c r="G19" s="186">
        <f t="shared" si="0"/>
        <v>30</v>
      </c>
      <c r="H19" s="145"/>
      <c r="I19" s="145"/>
      <c r="J19" s="145"/>
      <c r="K19" s="187">
        <v>50</v>
      </c>
      <c r="L19" s="145">
        <v>5</v>
      </c>
      <c r="M19" s="187"/>
      <c r="N19" s="145"/>
      <c r="O19" s="196"/>
      <c r="Q19" s="152">
        <v>10</v>
      </c>
      <c r="S19" s="145">
        <v>5</v>
      </c>
      <c r="T19" s="145">
        <v>5</v>
      </c>
    </row>
    <row r="20" spans="1:20" ht="26.25" thickTop="1">
      <c r="A20" s="143" t="s">
        <v>201</v>
      </c>
      <c r="B20" s="142" t="s">
        <v>247</v>
      </c>
      <c r="C20" s="144">
        <v>1115298912</v>
      </c>
      <c r="D20" s="140" t="s">
        <v>271</v>
      </c>
      <c r="E20" s="143" t="s">
        <v>289</v>
      </c>
      <c r="F20" s="145">
        <v>8</v>
      </c>
      <c r="G20" s="186">
        <f t="shared" si="0"/>
        <v>24</v>
      </c>
      <c r="H20" s="145"/>
      <c r="I20" s="145"/>
      <c r="J20" s="145">
        <v>40</v>
      </c>
      <c r="K20" s="187"/>
      <c r="L20" s="145">
        <v>3</v>
      </c>
      <c r="M20" s="187"/>
      <c r="N20" s="145"/>
      <c r="O20" s="194">
        <v>8</v>
      </c>
      <c r="S20" s="145">
        <v>5</v>
      </c>
      <c r="T20" s="145">
        <v>3</v>
      </c>
    </row>
    <row r="21" spans="1:20" s="152" customFormat="1" ht="50.25" thickBot="1">
      <c r="A21" s="147" t="s">
        <v>201</v>
      </c>
      <c r="B21" s="148" t="s">
        <v>249</v>
      </c>
      <c r="C21" s="149">
        <v>341687942</v>
      </c>
      <c r="D21" s="154" t="s">
        <v>294</v>
      </c>
      <c r="E21" s="147" t="s">
        <v>290</v>
      </c>
      <c r="F21" s="151">
        <v>8</v>
      </c>
      <c r="G21" s="186">
        <f t="shared" si="0"/>
        <v>24</v>
      </c>
      <c r="H21" s="145">
        <v>40</v>
      </c>
      <c r="I21" s="145"/>
      <c r="J21" s="145"/>
      <c r="K21" s="187"/>
      <c r="L21" s="145">
        <v>5</v>
      </c>
      <c r="M21" s="187"/>
      <c r="N21" s="145"/>
      <c r="O21" s="196"/>
      <c r="P21" s="152">
        <v>8</v>
      </c>
      <c r="S21" s="145">
        <v>6</v>
      </c>
      <c r="T21" s="145">
        <v>5</v>
      </c>
    </row>
    <row r="22" spans="1:20" ht="27" thickTop="1" thickBot="1">
      <c r="A22" s="143" t="s">
        <v>201</v>
      </c>
      <c r="B22" s="142" t="s">
        <v>251</v>
      </c>
      <c r="C22" s="144">
        <v>1954381745</v>
      </c>
      <c r="D22" s="140" t="s">
        <v>261</v>
      </c>
      <c r="E22" s="143" t="s">
        <v>291</v>
      </c>
      <c r="F22" s="145">
        <v>6</v>
      </c>
      <c r="G22" s="189">
        <v>42</v>
      </c>
      <c r="H22" s="200"/>
      <c r="I22" s="190"/>
      <c r="J22" s="190"/>
      <c r="K22" s="191"/>
      <c r="L22" s="190">
        <v>4</v>
      </c>
      <c r="M22" s="191"/>
      <c r="N22" s="190"/>
      <c r="O22" s="198">
        <v>6</v>
      </c>
      <c r="P22" s="199"/>
      <c r="Q22" s="199"/>
      <c r="R22" s="199"/>
      <c r="S22" s="190">
        <v>5</v>
      </c>
      <c r="T22" s="190">
        <v>4</v>
      </c>
    </row>
    <row r="23" spans="1:20">
      <c r="D23" s="153"/>
      <c r="G23" s="145"/>
      <c r="H23" s="145"/>
      <c r="I23" s="145"/>
      <c r="J23" s="145"/>
      <c r="K23" s="145"/>
      <c r="L23" s="145"/>
      <c r="M23" s="145"/>
      <c r="N23" s="145"/>
    </row>
    <row r="24" spans="1:20">
      <c r="A24" s="143" t="s">
        <v>146</v>
      </c>
      <c r="C24" s="2">
        <v>1737548149</v>
      </c>
      <c r="D24" s="153" t="s">
        <v>298</v>
      </c>
      <c r="Q24">
        <v>10</v>
      </c>
    </row>
    <row r="25" spans="1:20">
      <c r="A25" s="143" t="s">
        <v>319</v>
      </c>
      <c r="C25" s="2">
        <v>2048523733</v>
      </c>
      <c r="D25" s="201" t="s">
        <v>321</v>
      </c>
      <c r="J25" s="145">
        <v>55</v>
      </c>
    </row>
    <row r="26" spans="1:20">
      <c r="A26" s="143" t="s">
        <v>320</v>
      </c>
      <c r="C26" s="2">
        <v>1441472910</v>
      </c>
      <c r="D26" s="201" t="s">
        <v>322</v>
      </c>
      <c r="J26" s="145">
        <v>55</v>
      </c>
    </row>
    <row r="27" spans="1:20">
      <c r="E27">
        <v>488800</v>
      </c>
      <c r="G27" s="145">
        <f>SUM(G4:G25)</f>
        <v>625</v>
      </c>
      <c r="H27" s="145">
        <f>SUM(H4:H25)</f>
        <v>85</v>
      </c>
      <c r="I27" s="145">
        <f>SUM(I4:I25)</f>
        <v>240</v>
      </c>
      <c r="J27" s="145">
        <f>SUM(J4:J26)</f>
        <v>300</v>
      </c>
      <c r="K27" s="145">
        <f>SUM(K4:K25)</f>
        <v>150</v>
      </c>
    </row>
    <row r="28" spans="1:20">
      <c r="J28" s="145"/>
    </row>
  </sheetData>
  <phoneticPr fontId="1" type="noConversion"/>
  <hyperlinks>
    <hyperlink ref="D16" r:id="rId1" xr:uid="{63705095-3203-4F51-8FFA-679B87E3FBB1}"/>
    <hyperlink ref="D19" r:id="rId2" xr:uid="{03398F18-41E9-4744-91F7-5DA6B4F0CFF3}"/>
    <hyperlink ref="D21" r:id="rId3" xr:uid="{5996A389-9A2F-41DF-A903-1BF9BA276E0A}"/>
    <hyperlink ref="D4" r:id="rId4" xr:uid="{E8EB199F-231E-4ABB-8A2D-E467265C5F09}"/>
    <hyperlink ref="D25" r:id="rId5" xr:uid="{AAF475E3-C28A-4D89-BB96-D2E31C4F6481}"/>
    <hyperlink ref="D26" r:id="rId6" xr:uid="{57C5A3B0-97E8-4AC4-BE51-54DA6AE1C716}"/>
  </hyperlinks>
  <pageMargins left="0.7" right="0.7" top="0.75" bottom="0.75" header="0.3" footer="0.3"/>
  <pageSetup paperSize="9" orientation="portrait" r:id="rId7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07EE-3C27-40AC-ACEC-667A5D801E5D}">
  <dimension ref="A1:H12"/>
  <sheetViews>
    <sheetView workbookViewId="0">
      <selection activeCell="H8" sqref="H8:H15"/>
    </sheetView>
  </sheetViews>
  <sheetFormatPr defaultRowHeight="16.5"/>
  <cols>
    <col min="1" max="1" width="14.125" customWidth="1"/>
    <col min="3" max="3" width="38.25" customWidth="1"/>
  </cols>
  <sheetData>
    <row r="1" spans="1:8" ht="17.25" thickBot="1">
      <c r="A1" s="136" t="s">
        <v>221</v>
      </c>
      <c r="B1" s="136" t="s">
        <v>222</v>
      </c>
      <c r="C1" s="136" t="s">
        <v>223</v>
      </c>
      <c r="D1" s="136" t="s">
        <v>225</v>
      </c>
      <c r="E1" s="136" t="s">
        <v>226</v>
      </c>
      <c r="F1" s="136" t="s">
        <v>227</v>
      </c>
      <c r="G1" s="136" t="s">
        <v>228</v>
      </c>
    </row>
    <row r="2" spans="1:8" ht="17.25" thickBot="1">
      <c r="A2" s="155" t="s">
        <v>301</v>
      </c>
      <c r="B2" s="131" t="s">
        <v>215</v>
      </c>
      <c r="C2" s="132" t="s">
        <v>304</v>
      </c>
      <c r="D2" s="156">
        <v>200</v>
      </c>
      <c r="E2" s="157">
        <v>154</v>
      </c>
      <c r="F2" s="158">
        <v>147</v>
      </c>
      <c r="G2" s="155">
        <v>1</v>
      </c>
    </row>
    <row r="3" spans="1:8" ht="17.25" thickBot="1">
      <c r="A3" s="155" t="s">
        <v>301</v>
      </c>
      <c r="B3" s="131" t="s">
        <v>215</v>
      </c>
      <c r="C3" s="132" t="s">
        <v>302</v>
      </c>
      <c r="D3" s="156">
        <v>200</v>
      </c>
      <c r="E3" s="157">
        <v>150</v>
      </c>
      <c r="F3" s="158">
        <v>142</v>
      </c>
      <c r="G3" s="155">
        <v>1</v>
      </c>
    </row>
    <row r="4" spans="1:8" ht="17.25" thickBot="1">
      <c r="A4" s="155" t="s">
        <v>301</v>
      </c>
      <c r="B4" s="131" t="s">
        <v>215</v>
      </c>
      <c r="C4" s="132" t="s">
        <v>303</v>
      </c>
      <c r="D4" s="156">
        <v>200</v>
      </c>
      <c r="E4" s="157">
        <v>152</v>
      </c>
      <c r="F4" s="158">
        <v>143</v>
      </c>
      <c r="G4" s="155">
        <v>2</v>
      </c>
    </row>
    <row r="5" spans="1:8" ht="17.25" thickBot="1">
      <c r="A5" s="155" t="s">
        <v>305</v>
      </c>
      <c r="B5" s="131" t="s">
        <v>215</v>
      </c>
      <c r="C5" s="132" t="s">
        <v>306</v>
      </c>
      <c r="D5" s="156">
        <v>200</v>
      </c>
      <c r="E5" s="157">
        <v>200</v>
      </c>
      <c r="F5" s="158">
        <v>193</v>
      </c>
      <c r="G5" s="155">
        <v>2</v>
      </c>
    </row>
    <row r="6" spans="1:8">
      <c r="A6" s="155" t="s">
        <v>305</v>
      </c>
      <c r="B6" s="131" t="s">
        <v>215</v>
      </c>
      <c r="C6" s="132" t="s">
        <v>307</v>
      </c>
      <c r="D6" s="156">
        <v>110</v>
      </c>
      <c r="E6" s="157">
        <v>97</v>
      </c>
      <c r="F6" s="158">
        <v>93</v>
      </c>
      <c r="G6" s="155">
        <v>0</v>
      </c>
      <c r="H6" s="155"/>
    </row>
    <row r="7" spans="1:8" ht="17.25" thickBot="1"/>
    <row r="8" spans="1:8" ht="17.25" thickBot="1">
      <c r="A8" s="203"/>
      <c r="B8" s="131"/>
      <c r="C8" s="132"/>
      <c r="D8" s="204"/>
      <c r="E8" s="205"/>
      <c r="F8" s="206"/>
      <c r="G8" s="203"/>
      <c r="H8" s="203"/>
    </row>
    <row r="9" spans="1:8" ht="17.25" thickBot="1">
      <c r="A9" s="203" t="s">
        <v>301</v>
      </c>
      <c r="B9" s="131"/>
      <c r="C9" s="132" t="s">
        <v>302</v>
      </c>
      <c r="D9" s="204">
        <v>200</v>
      </c>
      <c r="E9" s="205">
        <v>200</v>
      </c>
      <c r="F9" s="206">
        <v>181</v>
      </c>
      <c r="G9" s="203">
        <v>19</v>
      </c>
      <c r="H9" s="203"/>
    </row>
    <row r="10" spans="1:8" ht="17.25" thickBot="1">
      <c r="A10" s="203" t="s">
        <v>301</v>
      </c>
      <c r="B10" s="131"/>
      <c r="C10" s="132" t="s">
        <v>303</v>
      </c>
      <c r="D10" s="204">
        <v>200</v>
      </c>
      <c r="E10" s="205">
        <v>200</v>
      </c>
      <c r="F10" s="206">
        <v>181</v>
      </c>
      <c r="G10" s="203">
        <v>19</v>
      </c>
      <c r="H10" s="203"/>
    </row>
    <row r="11" spans="1:8" ht="17.25" thickBot="1">
      <c r="A11" s="203" t="s">
        <v>301</v>
      </c>
      <c r="B11" s="131"/>
      <c r="C11" s="132" t="s">
        <v>304</v>
      </c>
      <c r="D11" s="204">
        <v>200</v>
      </c>
      <c r="E11" s="205">
        <v>200</v>
      </c>
      <c r="F11" s="206">
        <v>184</v>
      </c>
      <c r="G11" s="203">
        <v>16</v>
      </c>
      <c r="H11" s="203"/>
    </row>
    <row r="12" spans="1:8">
      <c r="A12" s="203" t="s">
        <v>326</v>
      </c>
      <c r="B12" s="131"/>
      <c r="C12" s="132" t="s">
        <v>327</v>
      </c>
      <c r="D12" s="204">
        <v>120</v>
      </c>
      <c r="E12" s="205">
        <v>120</v>
      </c>
      <c r="F12" s="206">
        <v>120</v>
      </c>
      <c r="G12" s="203">
        <v>0</v>
      </c>
      <c r="H12" s="203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2040-2941-46F6-B6C3-37DB0C4AE336}">
  <dimension ref="A1:L29"/>
  <sheetViews>
    <sheetView topLeftCell="A12" workbookViewId="0">
      <selection activeCell="C29" sqref="C29"/>
    </sheetView>
  </sheetViews>
  <sheetFormatPr defaultRowHeight="16.5"/>
  <cols>
    <col min="1" max="1" width="9" style="167"/>
    <col min="3" max="3" width="7.375" bestFit="1" customWidth="1"/>
    <col min="4" max="4" width="11.25" customWidth="1"/>
    <col min="9" max="9" width="12.125" style="7" bestFit="1" customWidth="1"/>
    <col min="10" max="10" width="5.5" bestFit="1" customWidth="1"/>
    <col min="11" max="11" width="7.125" bestFit="1" customWidth="1"/>
    <col min="12" max="12" width="5.25" bestFit="1" customWidth="1"/>
  </cols>
  <sheetData>
    <row r="1" spans="1:12" s="2" customFormat="1" ht="17.25" thickBot="1">
      <c r="A1" s="172">
        <v>45933</v>
      </c>
      <c r="B1" s="15" t="s">
        <v>25</v>
      </c>
      <c r="C1" s="15" t="s">
        <v>75</v>
      </c>
      <c r="D1" s="15" t="s">
        <v>308</v>
      </c>
      <c r="I1" s="42" t="s">
        <v>309</v>
      </c>
      <c r="J1" s="2" t="s">
        <v>310</v>
      </c>
      <c r="K1" s="2" t="s">
        <v>75</v>
      </c>
      <c r="L1" s="2" t="s">
        <v>90</v>
      </c>
    </row>
    <row r="2" spans="1:12" ht="18" thickTop="1" thickBot="1">
      <c r="A2" s="168" t="s">
        <v>230</v>
      </c>
      <c r="B2" s="141">
        <v>7</v>
      </c>
      <c r="C2" s="29"/>
      <c r="D2" s="57"/>
      <c r="E2" s="14"/>
      <c r="F2" s="159"/>
      <c r="G2" s="77"/>
      <c r="H2" s="160"/>
      <c r="I2" s="166">
        <f>(B2*$J$2+C2*$K$2+D2*$L$2)*7*1.1</f>
        <v>70070</v>
      </c>
      <c r="J2">
        <v>1300</v>
      </c>
      <c r="K2">
        <v>45</v>
      </c>
      <c r="L2">
        <v>50</v>
      </c>
    </row>
    <row r="3" spans="1:12" ht="18" thickTop="1" thickBot="1">
      <c r="A3" s="169" t="s">
        <v>232</v>
      </c>
      <c r="B3" s="14">
        <v>6</v>
      </c>
      <c r="C3" s="162"/>
      <c r="D3" s="163"/>
      <c r="E3" s="141"/>
      <c r="F3" s="161"/>
      <c r="G3" s="77"/>
      <c r="H3" s="164"/>
      <c r="I3" s="166">
        <f t="shared" ref="I3:I13" si="0">(B3*$J$2+C3*$K$2+D3*$L$2)*7*1.1</f>
        <v>60060.000000000007</v>
      </c>
    </row>
    <row r="4" spans="1:12" ht="18" thickTop="1" thickBot="1">
      <c r="A4" s="168" t="s">
        <v>234</v>
      </c>
      <c r="B4" s="141">
        <v>5</v>
      </c>
      <c r="C4" s="29"/>
      <c r="D4" s="57"/>
      <c r="E4" s="14"/>
      <c r="F4" s="159"/>
      <c r="G4" s="77"/>
      <c r="H4" s="57"/>
      <c r="I4" s="166">
        <f t="shared" si="0"/>
        <v>50050.000000000007</v>
      </c>
    </row>
    <row r="5" spans="1:12" ht="18" thickTop="1" thickBot="1">
      <c r="A5" s="169" t="s">
        <v>236</v>
      </c>
      <c r="B5" s="14">
        <v>8</v>
      </c>
      <c r="C5" s="162"/>
      <c r="D5" s="163"/>
      <c r="E5" s="141"/>
      <c r="F5" s="161"/>
      <c r="G5" s="77"/>
      <c r="H5" s="163"/>
      <c r="I5" s="166">
        <f t="shared" si="0"/>
        <v>80080</v>
      </c>
    </row>
    <row r="6" spans="1:12" ht="18" thickTop="1" thickBot="1">
      <c r="A6" s="171" t="s">
        <v>238</v>
      </c>
      <c r="B6" s="141">
        <v>8</v>
      </c>
      <c r="C6" s="29"/>
      <c r="D6" s="57"/>
      <c r="E6" s="14"/>
      <c r="F6" s="159"/>
      <c r="G6" s="77"/>
      <c r="H6" s="57"/>
      <c r="I6" s="166">
        <f t="shared" si="0"/>
        <v>80080</v>
      </c>
    </row>
    <row r="7" spans="1:12" ht="18" thickTop="1" thickBot="1">
      <c r="A7" s="171" t="s">
        <v>240</v>
      </c>
      <c r="B7" s="14">
        <v>9</v>
      </c>
      <c r="C7" s="162"/>
      <c r="D7" s="163"/>
      <c r="E7" s="141"/>
      <c r="F7" s="161"/>
      <c r="G7" s="77"/>
      <c r="H7" s="164"/>
      <c r="I7" s="166">
        <f t="shared" si="0"/>
        <v>90090</v>
      </c>
    </row>
    <row r="8" spans="1:12" ht="18" thickTop="1" thickBot="1">
      <c r="A8" s="171" t="s">
        <v>242</v>
      </c>
      <c r="B8" s="141">
        <v>9</v>
      </c>
      <c r="C8" s="29"/>
      <c r="D8" s="57"/>
      <c r="E8" s="14"/>
      <c r="F8" s="159"/>
      <c r="G8" s="77"/>
      <c r="H8" s="160"/>
      <c r="I8" s="166">
        <f t="shared" si="0"/>
        <v>90090</v>
      </c>
    </row>
    <row r="9" spans="1:12" ht="18" thickTop="1" thickBot="1">
      <c r="A9" s="168" t="s">
        <v>244</v>
      </c>
      <c r="B9" s="14">
        <v>9</v>
      </c>
      <c r="C9" s="162"/>
      <c r="D9" s="163"/>
      <c r="E9" s="141"/>
      <c r="F9" s="161"/>
      <c r="G9" s="77"/>
      <c r="H9" s="164"/>
      <c r="I9" s="166">
        <f t="shared" si="0"/>
        <v>90090</v>
      </c>
    </row>
    <row r="10" spans="1:12" ht="18" thickTop="1" thickBot="1">
      <c r="A10" s="168" t="s">
        <v>246</v>
      </c>
      <c r="B10" s="141">
        <v>10</v>
      </c>
      <c r="C10" s="29"/>
      <c r="D10" s="57"/>
      <c r="E10" s="14"/>
      <c r="F10" s="159"/>
      <c r="G10" s="77"/>
      <c r="H10" s="160"/>
      <c r="I10" s="166">
        <f t="shared" si="0"/>
        <v>100100.00000000001</v>
      </c>
    </row>
    <row r="11" spans="1:12" ht="18" thickTop="1" thickBot="1">
      <c r="A11" s="170" t="s">
        <v>248</v>
      </c>
      <c r="B11" s="14">
        <v>8</v>
      </c>
      <c r="C11" s="162"/>
      <c r="D11" s="163"/>
      <c r="E11" s="141"/>
      <c r="F11" s="161"/>
      <c r="G11" s="77"/>
      <c r="H11" s="163"/>
      <c r="I11" s="166">
        <f t="shared" si="0"/>
        <v>80080</v>
      </c>
    </row>
    <row r="12" spans="1:12" ht="18" thickTop="1" thickBot="1">
      <c r="A12" s="170" t="s">
        <v>250</v>
      </c>
      <c r="B12" s="141">
        <v>8</v>
      </c>
      <c r="C12" s="29"/>
      <c r="D12" s="57"/>
      <c r="E12" s="14"/>
      <c r="F12" s="159"/>
      <c r="G12" s="77"/>
      <c r="H12" s="57"/>
      <c r="I12" s="166">
        <f t="shared" si="0"/>
        <v>80080</v>
      </c>
    </row>
    <row r="13" spans="1:12" ht="18" thickTop="1" thickBot="1">
      <c r="A13" s="170" t="s">
        <v>252</v>
      </c>
      <c r="B13" s="165">
        <v>6</v>
      </c>
      <c r="C13" s="162"/>
      <c r="D13" s="163"/>
      <c r="E13" s="141"/>
      <c r="F13" s="161"/>
      <c r="G13" s="77"/>
      <c r="H13" s="163"/>
      <c r="I13" s="166">
        <f t="shared" si="0"/>
        <v>60060.000000000007</v>
      </c>
    </row>
    <row r="14" spans="1:12" ht="17.25" thickTop="1"/>
    <row r="16" spans="1:12" s="2" customFormat="1" ht="17.25" thickBot="1">
      <c r="A16" s="172">
        <v>45940</v>
      </c>
      <c r="B16" s="15" t="s">
        <v>25</v>
      </c>
      <c r="C16" s="15" t="s">
        <v>75</v>
      </c>
      <c r="D16" s="15" t="s">
        <v>308</v>
      </c>
      <c r="I16" s="42" t="s">
        <v>309</v>
      </c>
    </row>
    <row r="17" spans="1:12" ht="18" thickTop="1" thickBot="1">
      <c r="A17" s="168" t="s">
        <v>230</v>
      </c>
      <c r="B17" s="141">
        <v>7</v>
      </c>
      <c r="C17" s="29"/>
      <c r="D17" s="57"/>
      <c r="E17" s="14"/>
      <c r="F17" s="159"/>
      <c r="G17" s="77"/>
      <c r="H17" s="160"/>
      <c r="I17" s="166">
        <f>(B17*$J$2+C17*$K$2+D17*$L$2)*7*1.1</f>
        <v>70070</v>
      </c>
      <c r="J17">
        <v>1300</v>
      </c>
      <c r="K17">
        <v>45</v>
      </c>
      <c r="L17">
        <v>50</v>
      </c>
    </row>
    <row r="18" spans="1:12" ht="18" thickTop="1" thickBot="1">
      <c r="A18" s="169" t="s">
        <v>232</v>
      </c>
      <c r="B18" s="14">
        <v>6</v>
      </c>
      <c r="C18" s="162"/>
      <c r="D18" s="163"/>
      <c r="E18" s="141"/>
      <c r="F18" s="161"/>
      <c r="G18" s="77"/>
      <c r="H18" s="164"/>
      <c r="I18" s="166">
        <f t="shared" ref="I18:I28" si="1">(B18*$J$2+C18*$K$2+D18*$L$2)*7*1.1</f>
        <v>60060.000000000007</v>
      </c>
    </row>
    <row r="19" spans="1:12" ht="18" thickTop="1" thickBot="1">
      <c r="A19" s="168" t="s">
        <v>234</v>
      </c>
      <c r="B19" s="141">
        <v>5</v>
      </c>
      <c r="C19" s="29"/>
      <c r="D19" s="57"/>
      <c r="E19" s="14"/>
      <c r="F19" s="159"/>
      <c r="G19" s="77"/>
      <c r="H19" s="57"/>
      <c r="I19" s="166">
        <f t="shared" si="1"/>
        <v>50050.000000000007</v>
      </c>
    </row>
    <row r="20" spans="1:12" ht="18" thickTop="1" thickBot="1">
      <c r="A20" s="169" t="s">
        <v>236</v>
      </c>
      <c r="B20" s="14">
        <v>8</v>
      </c>
      <c r="C20" s="162"/>
      <c r="D20" s="163"/>
      <c r="E20" s="141"/>
      <c r="F20" s="161"/>
      <c r="G20" s="77"/>
      <c r="H20" s="163"/>
      <c r="I20" s="166">
        <f t="shared" si="1"/>
        <v>80080</v>
      </c>
    </row>
    <row r="21" spans="1:12" ht="18" thickTop="1" thickBot="1">
      <c r="A21" s="171" t="s">
        <v>238</v>
      </c>
      <c r="B21" s="141">
        <v>10</v>
      </c>
      <c r="C21" s="29">
        <v>50</v>
      </c>
      <c r="D21" s="57">
        <v>50</v>
      </c>
      <c r="E21" s="14"/>
      <c r="F21" s="159"/>
      <c r="G21" s="77"/>
      <c r="H21" s="57"/>
      <c r="I21" s="166">
        <f t="shared" si="1"/>
        <v>136675</v>
      </c>
    </row>
    <row r="22" spans="1:12" ht="18" thickTop="1" thickBot="1">
      <c r="A22" s="171" t="s">
        <v>240</v>
      </c>
      <c r="B22" s="14">
        <v>10</v>
      </c>
      <c r="C22" s="162">
        <v>50</v>
      </c>
      <c r="D22" s="163">
        <v>50</v>
      </c>
      <c r="E22" s="141"/>
      <c r="F22" s="161"/>
      <c r="G22" s="77"/>
      <c r="H22" s="164"/>
      <c r="I22" s="166">
        <f t="shared" si="1"/>
        <v>136675</v>
      </c>
    </row>
    <row r="23" spans="1:12" ht="18" thickTop="1" thickBot="1">
      <c r="A23" s="171" t="s">
        <v>242</v>
      </c>
      <c r="B23" s="141">
        <v>10</v>
      </c>
      <c r="C23" s="29">
        <v>50</v>
      </c>
      <c r="D23" s="57">
        <v>50</v>
      </c>
      <c r="E23" s="14"/>
      <c r="F23" s="159"/>
      <c r="G23" s="77"/>
      <c r="H23" s="160"/>
      <c r="I23" s="166">
        <f t="shared" si="1"/>
        <v>136675</v>
      </c>
    </row>
    <row r="24" spans="1:12" ht="18" thickTop="1" thickBot="1">
      <c r="A24" s="168" t="s">
        <v>244</v>
      </c>
      <c r="B24" s="14">
        <v>9</v>
      </c>
      <c r="C24" s="162"/>
      <c r="D24" s="163"/>
      <c r="E24" s="141"/>
      <c r="F24" s="161"/>
      <c r="G24" s="77"/>
      <c r="H24" s="164"/>
      <c r="I24" s="166">
        <f t="shared" si="1"/>
        <v>90090</v>
      </c>
    </row>
    <row r="25" spans="1:12" ht="18" thickTop="1" thickBot="1">
      <c r="A25" s="168" t="s">
        <v>246</v>
      </c>
      <c r="B25" s="141">
        <v>10</v>
      </c>
      <c r="C25" s="29"/>
      <c r="D25" s="57"/>
      <c r="E25" s="14"/>
      <c r="F25" s="159"/>
      <c r="G25" s="77"/>
      <c r="H25" s="160"/>
      <c r="I25" s="166">
        <f t="shared" si="1"/>
        <v>100100.00000000001</v>
      </c>
    </row>
    <row r="26" spans="1:12" ht="18" thickTop="1" thickBot="1">
      <c r="A26" s="170" t="s">
        <v>248</v>
      </c>
      <c r="B26" s="14">
        <v>8</v>
      </c>
      <c r="C26" s="162">
        <v>50</v>
      </c>
      <c r="D26" s="163">
        <v>50</v>
      </c>
      <c r="E26" s="141"/>
      <c r="F26" s="161"/>
      <c r="G26" s="77"/>
      <c r="H26" s="163"/>
      <c r="I26" s="166">
        <f t="shared" si="1"/>
        <v>116655.00000000001</v>
      </c>
    </row>
    <row r="27" spans="1:12" ht="18" thickTop="1" thickBot="1">
      <c r="A27" s="170" t="s">
        <v>250</v>
      </c>
      <c r="B27" s="141">
        <v>8</v>
      </c>
      <c r="C27" s="29">
        <v>50</v>
      </c>
      <c r="D27" s="57">
        <v>50</v>
      </c>
      <c r="E27" s="14"/>
      <c r="F27" s="159"/>
      <c r="G27" s="77"/>
      <c r="H27" s="57"/>
      <c r="I27" s="166">
        <f t="shared" si="1"/>
        <v>116655.00000000001</v>
      </c>
    </row>
    <row r="28" spans="1:12" ht="18" thickTop="1" thickBot="1">
      <c r="A28" s="170" t="s">
        <v>252</v>
      </c>
      <c r="B28" s="165">
        <v>6</v>
      </c>
      <c r="C28" s="162">
        <v>50</v>
      </c>
      <c r="D28" s="163">
        <v>50</v>
      </c>
      <c r="E28" s="141"/>
      <c r="F28" s="161"/>
      <c r="G28" s="77"/>
      <c r="H28" s="163"/>
      <c r="I28" s="166">
        <f t="shared" si="1"/>
        <v>96635.000000000015</v>
      </c>
    </row>
    <row r="29" spans="1:12" ht="17.25" thickTop="1"/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FD386-ECDB-48E0-9EF5-0217F2394330}">
  <dimension ref="A1:AA121"/>
  <sheetViews>
    <sheetView topLeftCell="B1" zoomScale="85" zoomScaleNormal="85" workbookViewId="0">
      <pane ySplit="3" topLeftCell="A17" activePane="bottomLeft" state="frozen"/>
      <selection activeCell="D1" sqref="D1"/>
      <selection pane="bottomLeft" activeCell="G34" sqref="G34:P45"/>
    </sheetView>
  </sheetViews>
  <sheetFormatPr defaultRowHeight="16.5"/>
  <cols>
    <col min="2" max="2" width="6" customWidth="1"/>
    <col min="3" max="4" width="4.5" customWidth="1"/>
    <col min="5" max="5" width="7.375" bestFit="1" customWidth="1"/>
    <col min="6" max="6" width="9.875" customWidth="1"/>
    <col min="7" max="7" width="15.125" style="15" bestFit="1" customWidth="1"/>
    <col min="8" max="9" width="9" customWidth="1"/>
    <col min="10" max="10" width="14" style="2" customWidth="1"/>
    <col min="11" max="11" width="10.875" style="2" customWidth="1"/>
    <col min="12" max="12" width="8.875" style="15" customWidth="1"/>
    <col min="13" max="13" width="13.5" style="2" customWidth="1"/>
    <col min="14" max="14" width="9.25" style="2" customWidth="1"/>
    <col min="15" max="15" width="10" style="2" customWidth="1"/>
    <col min="16" max="16" width="8.25" style="2" bestFit="1" customWidth="1"/>
    <col min="17" max="20" width="9" style="2"/>
    <col min="21" max="21" width="12.25" style="2" customWidth="1"/>
    <col min="22" max="22" width="9" style="2" customWidth="1"/>
    <col min="23" max="23" width="9" style="2"/>
    <col min="24" max="25" width="15.125" style="15" customWidth="1"/>
    <col min="26" max="26" width="9" style="2" customWidth="1"/>
    <col min="27" max="27" width="9" style="2"/>
  </cols>
  <sheetData>
    <row r="1" spans="1:27">
      <c r="H1" s="2"/>
      <c r="I1" s="2"/>
      <c r="V1" s="15"/>
      <c r="W1" s="15"/>
      <c r="X1" s="2"/>
      <c r="Y1" s="2"/>
      <c r="Z1"/>
      <c r="AA1"/>
    </row>
    <row r="2" spans="1:27" ht="17.25" thickBot="1">
      <c r="H2" s="2"/>
      <c r="I2" s="2"/>
      <c r="V2" s="15"/>
      <c r="W2" s="15"/>
      <c r="X2" s="2"/>
      <c r="Y2" s="2"/>
      <c r="Z2"/>
      <c r="AA2"/>
    </row>
    <row r="3" spans="1:27" s="13" customFormat="1" ht="23.25" customHeight="1" thickBot="1">
      <c r="A3" s="13" t="s">
        <v>46</v>
      </c>
      <c r="E3" s="115" t="s">
        <v>200</v>
      </c>
      <c r="F3" s="114"/>
      <c r="G3" s="59" t="s">
        <v>198</v>
      </c>
      <c r="H3" s="17" t="s">
        <v>75</v>
      </c>
      <c r="I3" s="19" t="s">
        <v>114</v>
      </c>
      <c r="J3" s="18" t="s">
        <v>72</v>
      </c>
      <c r="K3" s="59" t="s">
        <v>74</v>
      </c>
      <c r="L3" s="76" t="s">
        <v>190</v>
      </c>
      <c r="M3" s="62" t="s">
        <v>156</v>
      </c>
      <c r="N3" s="19" t="s">
        <v>121</v>
      </c>
      <c r="O3" s="54" t="s">
        <v>54</v>
      </c>
      <c r="P3" s="55" t="s">
        <v>116</v>
      </c>
      <c r="Q3" s="55" t="s">
        <v>189</v>
      </c>
      <c r="R3" s="56" t="s">
        <v>53</v>
      </c>
      <c r="S3" s="66" t="s">
        <v>195</v>
      </c>
      <c r="T3" s="67" t="s">
        <v>196</v>
      </c>
      <c r="U3" s="68" t="s">
        <v>197</v>
      </c>
      <c r="V3" s="75" t="s">
        <v>159</v>
      </c>
      <c r="W3" s="75" t="s">
        <v>11</v>
      </c>
      <c r="X3" s="19" t="s">
        <v>199</v>
      </c>
      <c r="Y3" s="15"/>
    </row>
    <row r="4" spans="1:27" s="13" customFormat="1" ht="20.100000000000001" customHeight="1" thickTop="1" thickBot="1">
      <c r="E4" s="116"/>
      <c r="F4" s="13" t="s">
        <v>192</v>
      </c>
      <c r="G4" s="16" t="s">
        <v>0</v>
      </c>
      <c r="H4" s="51">
        <v>200</v>
      </c>
      <c r="I4" s="52">
        <v>150</v>
      </c>
      <c r="J4" s="53">
        <v>100</v>
      </c>
      <c r="K4" s="60"/>
      <c r="L4" s="77">
        <v>100</v>
      </c>
      <c r="M4" s="63">
        <v>100</v>
      </c>
      <c r="N4" s="52">
        <v>100</v>
      </c>
      <c r="O4" s="51"/>
      <c r="P4" s="53"/>
      <c r="Q4" s="53"/>
      <c r="R4" s="52"/>
      <c r="S4" s="69"/>
      <c r="T4" s="70"/>
      <c r="U4" s="71"/>
      <c r="V4" s="47"/>
      <c r="W4" s="47"/>
      <c r="X4" s="58"/>
      <c r="Y4" s="15"/>
    </row>
    <row r="5" spans="1:27" s="13" customFormat="1" ht="20.100000000000001" customHeight="1" thickTop="1" thickBot="1">
      <c r="E5" s="116"/>
      <c r="G5" s="16" t="s">
        <v>8</v>
      </c>
      <c r="H5" s="51">
        <v>100</v>
      </c>
      <c r="I5" s="52"/>
      <c r="J5" s="53"/>
      <c r="K5" s="60"/>
      <c r="L5" s="77"/>
      <c r="M5" s="64">
        <v>100</v>
      </c>
      <c r="N5" s="52"/>
      <c r="O5" s="51"/>
      <c r="P5" s="53"/>
      <c r="Q5" s="53"/>
      <c r="R5" s="52"/>
      <c r="S5" s="69"/>
      <c r="T5" s="70"/>
      <c r="U5" s="71"/>
      <c r="V5" s="47"/>
      <c r="W5" s="47"/>
      <c r="X5" s="58"/>
      <c r="Y5" s="15"/>
    </row>
    <row r="6" spans="1:27" s="13" customFormat="1" ht="20.100000000000001" customHeight="1" thickTop="1" thickBot="1">
      <c r="E6" s="116"/>
      <c r="G6" s="16"/>
      <c r="H6" s="29"/>
      <c r="I6" s="57"/>
      <c r="J6" s="14"/>
      <c r="K6" s="16"/>
      <c r="L6" s="77"/>
      <c r="M6" s="64"/>
      <c r="N6" s="57"/>
      <c r="O6" s="29"/>
      <c r="P6" s="14"/>
      <c r="Q6" s="14"/>
      <c r="R6" s="57"/>
      <c r="S6" s="69"/>
      <c r="T6" s="70"/>
      <c r="U6" s="71"/>
      <c r="V6" s="27"/>
      <c r="W6" s="27"/>
      <c r="X6" s="58"/>
      <c r="Y6" s="15"/>
    </row>
    <row r="7" spans="1:27" s="13" customFormat="1" ht="20.100000000000001" customHeight="1" thickTop="1" thickBot="1">
      <c r="E7" s="116"/>
      <c r="G7" s="16" t="s">
        <v>176</v>
      </c>
      <c r="H7" s="51">
        <v>200</v>
      </c>
      <c r="I7" s="52"/>
      <c r="J7" s="53">
        <v>200</v>
      </c>
      <c r="K7" s="60"/>
      <c r="L7" s="77">
        <v>100</v>
      </c>
      <c r="M7" s="64"/>
      <c r="N7" s="52">
        <v>100</v>
      </c>
      <c r="O7" s="51"/>
      <c r="P7" s="53"/>
      <c r="Q7" s="53"/>
      <c r="R7" s="52"/>
      <c r="S7" s="69"/>
      <c r="T7" s="70"/>
      <c r="U7" s="71"/>
      <c r="V7" s="47"/>
      <c r="W7" s="47"/>
      <c r="X7" s="58"/>
      <c r="Y7" s="15"/>
    </row>
    <row r="8" spans="1:27" s="13" customFormat="1" ht="20.100000000000001" customHeight="1" thickTop="1" thickBot="1">
      <c r="E8" s="116"/>
      <c r="G8" s="16" t="s">
        <v>177</v>
      </c>
      <c r="H8" s="51">
        <v>100</v>
      </c>
      <c r="I8" s="52"/>
      <c r="J8" s="53"/>
      <c r="K8" s="60"/>
      <c r="L8" s="77"/>
      <c r="M8" s="64"/>
      <c r="N8" s="52">
        <v>50</v>
      </c>
      <c r="O8" s="51"/>
      <c r="P8" s="53"/>
      <c r="Q8" s="53"/>
      <c r="R8" s="52"/>
      <c r="S8" s="69"/>
      <c r="T8" s="70"/>
      <c r="U8" s="71"/>
      <c r="V8" s="47"/>
      <c r="W8" s="47"/>
      <c r="X8" s="58"/>
      <c r="Y8" s="15"/>
    </row>
    <row r="9" spans="1:27" s="13" customFormat="1" ht="20.100000000000001" customHeight="1" thickTop="1" thickBot="1">
      <c r="E9" s="116"/>
      <c r="G9" s="16" t="s">
        <v>178</v>
      </c>
      <c r="H9" s="51">
        <v>300</v>
      </c>
      <c r="I9" s="52"/>
      <c r="J9" s="53"/>
      <c r="K9" s="60"/>
      <c r="L9" s="77">
        <v>100</v>
      </c>
      <c r="M9" s="64">
        <v>200</v>
      </c>
      <c r="N9" s="52">
        <v>100</v>
      </c>
      <c r="O9" s="51"/>
      <c r="P9" s="53"/>
      <c r="Q9" s="53"/>
      <c r="R9" s="52"/>
      <c r="S9" s="69"/>
      <c r="T9" s="70"/>
      <c r="U9" s="71"/>
      <c r="V9" s="47"/>
      <c r="W9" s="47"/>
      <c r="X9" s="58"/>
      <c r="Y9" s="15"/>
    </row>
    <row r="10" spans="1:27" s="13" customFormat="1" ht="20.100000000000001" customHeight="1" thickTop="1" thickBot="1">
      <c r="E10" s="116"/>
      <c r="G10" s="16" t="s">
        <v>181</v>
      </c>
      <c r="H10" s="51">
        <v>150</v>
      </c>
      <c r="I10" s="52"/>
      <c r="J10" s="53"/>
      <c r="K10" s="60"/>
      <c r="L10" s="77"/>
      <c r="M10" s="64"/>
      <c r="N10" s="52">
        <v>50</v>
      </c>
      <c r="O10" s="51"/>
      <c r="P10" s="53"/>
      <c r="Q10" s="53"/>
      <c r="R10" s="52"/>
      <c r="S10" s="69"/>
      <c r="T10" s="70"/>
      <c r="U10" s="71"/>
      <c r="V10" s="47"/>
      <c r="W10" s="47"/>
      <c r="X10" s="58"/>
      <c r="Y10" s="15"/>
    </row>
    <row r="11" spans="1:27" s="13" customFormat="1" ht="20.100000000000001" customHeight="1" thickTop="1" thickBot="1">
      <c r="E11" s="116"/>
      <c r="G11" s="16" t="s">
        <v>182</v>
      </c>
      <c r="H11" s="51">
        <v>150</v>
      </c>
      <c r="I11" s="52"/>
      <c r="J11" s="53"/>
      <c r="K11" s="60"/>
      <c r="L11" s="77"/>
      <c r="M11" s="64"/>
      <c r="N11" s="52">
        <v>50</v>
      </c>
      <c r="O11" s="51"/>
      <c r="P11" s="53"/>
      <c r="Q11" s="53"/>
      <c r="R11" s="52"/>
      <c r="S11" s="69"/>
      <c r="T11" s="70"/>
      <c r="U11" s="71"/>
      <c r="V11" s="47"/>
      <c r="W11" s="47"/>
      <c r="X11" s="58"/>
      <c r="Y11" s="15"/>
    </row>
    <row r="12" spans="1:27" s="13" customFormat="1" ht="20.100000000000001" customHeight="1" thickTop="1" thickBot="1">
      <c r="E12" s="116"/>
      <c r="G12" s="16" t="s">
        <v>183</v>
      </c>
      <c r="H12" s="51">
        <v>100</v>
      </c>
      <c r="I12" s="52"/>
      <c r="J12" s="53"/>
      <c r="K12" s="60"/>
      <c r="L12" s="77"/>
      <c r="M12" s="64"/>
      <c r="N12" s="52">
        <v>100</v>
      </c>
      <c r="O12" s="51"/>
      <c r="P12" s="53"/>
      <c r="Q12" s="53"/>
      <c r="R12" s="52"/>
      <c r="S12" s="69"/>
      <c r="T12" s="70"/>
      <c r="U12" s="71"/>
      <c r="V12" s="47"/>
      <c r="W12" s="47"/>
      <c r="X12" s="58"/>
      <c r="Y12" s="15"/>
    </row>
    <row r="13" spans="1:27" s="13" customFormat="1" ht="20.100000000000001" customHeight="1" thickTop="1" thickBot="1">
      <c r="E13" s="116"/>
      <c r="G13" s="16" t="s">
        <v>187</v>
      </c>
      <c r="H13" s="51">
        <v>100</v>
      </c>
      <c r="I13" s="52"/>
      <c r="J13" s="53"/>
      <c r="K13" s="60"/>
      <c r="L13" s="77"/>
      <c r="M13" s="64">
        <v>100</v>
      </c>
      <c r="N13" s="52"/>
      <c r="O13" s="51"/>
      <c r="P13" s="53">
        <v>3</v>
      </c>
      <c r="Q13" s="53"/>
      <c r="R13" s="52"/>
      <c r="S13" s="69"/>
      <c r="T13" s="70"/>
      <c r="U13" s="71"/>
      <c r="V13" s="47"/>
      <c r="W13" s="47"/>
      <c r="X13" s="58"/>
      <c r="Y13" s="15"/>
    </row>
    <row r="14" spans="1:27" s="13" customFormat="1" ht="20.100000000000001" customHeight="1" thickTop="1" thickBot="1">
      <c r="E14" s="116"/>
      <c r="G14" s="16" t="s">
        <v>184</v>
      </c>
      <c r="H14" s="51"/>
      <c r="I14" s="52"/>
      <c r="J14" s="53"/>
      <c r="K14" s="60"/>
      <c r="L14" s="77"/>
      <c r="M14" s="64"/>
      <c r="N14" s="52"/>
      <c r="O14" s="51"/>
      <c r="P14" s="53"/>
      <c r="Q14" s="53"/>
      <c r="R14" s="52"/>
      <c r="S14" s="69"/>
      <c r="T14" s="70"/>
      <c r="U14" s="71"/>
      <c r="V14" s="47"/>
      <c r="W14" s="47"/>
      <c r="X14" s="58"/>
      <c r="Y14" s="15"/>
    </row>
    <row r="15" spans="1:27" s="13" customFormat="1" ht="20.100000000000001" customHeight="1" thickTop="1" thickBot="1">
      <c r="E15" s="116"/>
      <c r="G15" s="16" t="s">
        <v>185</v>
      </c>
      <c r="H15" s="51"/>
      <c r="I15" s="52"/>
      <c r="J15" s="53"/>
      <c r="K15" s="60"/>
      <c r="L15" s="77"/>
      <c r="M15" s="64"/>
      <c r="N15" s="52"/>
      <c r="O15" s="51"/>
      <c r="P15" s="53"/>
      <c r="Q15" s="53"/>
      <c r="R15" s="52"/>
      <c r="S15" s="69"/>
      <c r="T15" s="70"/>
      <c r="U15" s="71"/>
      <c r="V15" s="47"/>
      <c r="W15" s="47"/>
      <c r="X15" s="58"/>
      <c r="Y15" s="15"/>
    </row>
    <row r="16" spans="1:27" s="13" customFormat="1" ht="20.100000000000001" customHeight="1" thickTop="1" thickBot="1">
      <c r="B16" s="13" t="s">
        <v>51</v>
      </c>
      <c r="E16" s="116"/>
      <c r="G16" s="16" t="s">
        <v>188</v>
      </c>
      <c r="H16" s="51"/>
      <c r="I16" s="52"/>
      <c r="J16" s="53"/>
      <c r="K16" s="60"/>
      <c r="L16" s="77"/>
      <c r="M16" s="64"/>
      <c r="N16" s="52"/>
      <c r="O16" s="51"/>
      <c r="P16" s="53"/>
      <c r="Q16" s="53"/>
      <c r="R16" s="52"/>
      <c r="S16" s="69"/>
      <c r="T16" s="70"/>
      <c r="U16" s="71"/>
      <c r="V16" s="47"/>
      <c r="W16" s="47"/>
      <c r="X16" s="58"/>
      <c r="Y16" s="15"/>
    </row>
    <row r="17" spans="1:27" s="13" customFormat="1" ht="20.100000000000001" customHeight="1" thickTop="1" thickBot="1">
      <c r="E17" s="116"/>
      <c r="G17" s="16" t="s">
        <v>186</v>
      </c>
      <c r="H17" s="51"/>
      <c r="I17" s="52"/>
      <c r="J17" s="53"/>
      <c r="K17" s="60"/>
      <c r="L17" s="77"/>
      <c r="M17" s="64"/>
      <c r="N17" s="52"/>
      <c r="O17" s="51"/>
      <c r="P17" s="53"/>
      <c r="Q17" s="53"/>
      <c r="R17" s="52"/>
      <c r="S17" s="69"/>
      <c r="T17" s="70"/>
      <c r="U17" s="71"/>
      <c r="V17" s="47"/>
      <c r="W17" s="47"/>
      <c r="X17" s="58"/>
      <c r="Y17" s="15"/>
    </row>
    <row r="18" spans="1:27" s="13" customFormat="1" ht="20.100000000000001" customHeight="1" thickTop="1" thickBot="1">
      <c r="E18" s="116"/>
      <c r="G18" s="117" t="s">
        <v>1</v>
      </c>
      <c r="H18" s="118">
        <v>400</v>
      </c>
      <c r="I18" s="119"/>
      <c r="J18" s="120"/>
      <c r="K18" s="121"/>
      <c r="L18" s="122">
        <v>100</v>
      </c>
      <c r="M18" s="123">
        <v>100</v>
      </c>
      <c r="N18" s="119">
        <v>150</v>
      </c>
      <c r="O18" s="118"/>
      <c r="P18" s="120"/>
      <c r="Q18" s="120"/>
      <c r="R18" s="119"/>
      <c r="S18" s="124"/>
      <c r="T18" s="125"/>
      <c r="U18" s="126"/>
      <c r="V18" s="127"/>
      <c r="W18" s="127"/>
      <c r="X18" s="128"/>
      <c r="Y18" s="15"/>
    </row>
    <row r="19" spans="1:27" s="13" customFormat="1" ht="20.100000000000001" customHeight="1" thickTop="1" thickBot="1">
      <c r="E19" s="116"/>
      <c r="G19" s="16"/>
      <c r="H19" s="29"/>
      <c r="I19" s="57"/>
      <c r="J19" s="14"/>
      <c r="K19" s="16"/>
      <c r="L19" s="77"/>
      <c r="M19" s="64"/>
      <c r="N19" s="57"/>
      <c r="O19" s="29"/>
      <c r="P19" s="14"/>
      <c r="Q19" s="14"/>
      <c r="R19" s="57"/>
      <c r="S19" s="69"/>
      <c r="T19" s="70"/>
      <c r="U19" s="71"/>
      <c r="V19" s="27"/>
      <c r="W19" s="27"/>
      <c r="X19" s="58"/>
      <c r="Y19" s="15"/>
    </row>
    <row r="20" spans="1:27" s="13" customFormat="1" ht="20.100000000000001" customHeight="1" thickTop="1" thickBot="1">
      <c r="E20" s="116"/>
      <c r="F20" s="13" t="s">
        <v>193</v>
      </c>
      <c r="G20" s="16" t="s">
        <v>175</v>
      </c>
      <c r="H20" s="51">
        <v>500</v>
      </c>
      <c r="I20" s="52"/>
      <c r="J20" s="53">
        <v>400</v>
      </c>
      <c r="K20" s="60"/>
      <c r="L20" s="77">
        <v>100</v>
      </c>
      <c r="M20" s="64"/>
      <c r="N20" s="52">
        <v>200</v>
      </c>
      <c r="O20" s="51" t="s">
        <v>155</v>
      </c>
      <c r="P20" s="53"/>
      <c r="Q20" s="53"/>
      <c r="R20" s="52"/>
      <c r="S20" s="69"/>
      <c r="T20" s="70"/>
      <c r="U20" s="71"/>
      <c r="V20" s="47"/>
      <c r="W20" s="47"/>
      <c r="X20" s="58"/>
      <c r="Y20" s="15"/>
    </row>
    <row r="21" spans="1:27" ht="20.100000000000001" customHeight="1" thickTop="1" thickBot="1">
      <c r="A21" s="13" t="s">
        <v>32</v>
      </c>
      <c r="B21" s="13" t="s">
        <v>51</v>
      </c>
      <c r="C21" s="13"/>
      <c r="D21" s="13"/>
      <c r="E21" s="116"/>
      <c r="F21" s="13"/>
      <c r="G21" s="16" t="s">
        <v>33</v>
      </c>
      <c r="H21" s="29">
        <v>200</v>
      </c>
      <c r="I21" s="57"/>
      <c r="J21" s="14">
        <v>200</v>
      </c>
      <c r="K21" s="16"/>
      <c r="L21" s="77">
        <v>100</v>
      </c>
      <c r="M21" s="129">
        <v>100</v>
      </c>
      <c r="N21" s="21"/>
      <c r="O21" s="29" t="s">
        <v>154</v>
      </c>
      <c r="P21" s="5"/>
      <c r="Q21" s="5"/>
      <c r="R21" s="21"/>
      <c r="S21" s="69"/>
      <c r="T21" s="70"/>
      <c r="U21" s="71"/>
      <c r="V21" s="27"/>
      <c r="W21" s="27"/>
      <c r="X21" s="58"/>
      <c r="Y21" s="2"/>
      <c r="Z21"/>
      <c r="AA21"/>
    </row>
    <row r="22" spans="1:27" s="13" customFormat="1" ht="20.100000000000001" customHeight="1" thickTop="1" thickBot="1">
      <c r="E22" s="116"/>
      <c r="G22" s="16"/>
      <c r="H22" s="51"/>
      <c r="I22" s="52"/>
      <c r="J22" s="53"/>
      <c r="K22" s="60"/>
      <c r="L22" s="77"/>
      <c r="M22" s="64"/>
      <c r="N22" s="52"/>
      <c r="O22" s="51"/>
      <c r="P22" s="53"/>
      <c r="Q22" s="53"/>
      <c r="R22" s="52"/>
      <c r="S22" s="69"/>
      <c r="T22" s="70"/>
      <c r="U22" s="71"/>
      <c r="V22" s="47"/>
      <c r="W22" s="47"/>
      <c r="X22" s="58"/>
      <c r="Y22" s="15"/>
    </row>
    <row r="23" spans="1:27" s="13" customFormat="1" ht="20.100000000000001" customHeight="1" thickTop="1" thickBot="1">
      <c r="E23" s="116"/>
      <c r="F23" s="13" t="s">
        <v>194</v>
      </c>
      <c r="G23" s="16" t="s">
        <v>5</v>
      </c>
      <c r="H23" s="51">
        <v>100</v>
      </c>
      <c r="I23" s="52"/>
      <c r="J23" s="53"/>
      <c r="K23" s="60"/>
      <c r="L23" s="77"/>
      <c r="M23" s="64"/>
      <c r="N23" s="52"/>
      <c r="O23" s="51"/>
      <c r="P23" s="53"/>
      <c r="Q23" s="53"/>
      <c r="R23" s="52"/>
      <c r="S23" s="69"/>
      <c r="T23" s="70"/>
      <c r="U23" s="71"/>
      <c r="V23" s="47"/>
      <c r="W23" s="47"/>
      <c r="X23" s="58"/>
      <c r="Y23" s="15"/>
    </row>
    <row r="24" spans="1:27" s="13" customFormat="1" ht="20.100000000000001" customHeight="1" thickTop="1" thickBot="1">
      <c r="E24" s="116"/>
      <c r="G24" s="16" t="s">
        <v>6</v>
      </c>
      <c r="H24" s="51">
        <v>200</v>
      </c>
      <c r="I24" s="52"/>
      <c r="J24" s="53"/>
      <c r="K24" s="60"/>
      <c r="L24" s="77"/>
      <c r="M24" s="64"/>
      <c r="N24" s="52"/>
      <c r="O24" s="51"/>
      <c r="P24" s="53"/>
      <c r="Q24" s="53"/>
      <c r="R24" s="52"/>
      <c r="S24" s="69"/>
      <c r="T24" s="70"/>
      <c r="U24" s="71"/>
      <c r="V24" s="47"/>
      <c r="W24" s="47"/>
      <c r="X24" s="58"/>
      <c r="Y24" s="15"/>
    </row>
    <row r="25" spans="1:27" s="13" customFormat="1" ht="20.100000000000001" customHeight="1" thickTop="1" thickBot="1">
      <c r="E25" s="116"/>
      <c r="G25" s="16" t="s">
        <v>179</v>
      </c>
      <c r="H25" s="51"/>
      <c r="I25" s="52"/>
      <c r="J25" s="53"/>
      <c r="K25" s="60"/>
      <c r="L25" s="77"/>
      <c r="M25" s="64"/>
      <c r="N25" s="52"/>
      <c r="O25" s="51"/>
      <c r="P25" s="53"/>
      <c r="Q25" s="53"/>
      <c r="R25" s="52"/>
      <c r="S25" s="69"/>
      <c r="T25" s="70"/>
      <c r="U25" s="71"/>
      <c r="V25" s="47"/>
      <c r="W25" s="47"/>
      <c r="X25" s="58"/>
      <c r="Y25" s="15"/>
    </row>
    <row r="26" spans="1:27" s="13" customFormat="1" ht="20.100000000000001" customHeight="1" thickTop="1" thickBot="1">
      <c r="E26" s="116"/>
      <c r="G26" s="16"/>
      <c r="H26" s="51"/>
      <c r="I26" s="52"/>
      <c r="J26" s="53"/>
      <c r="K26" s="60"/>
      <c r="L26" s="77"/>
      <c r="M26" s="64"/>
      <c r="N26" s="52"/>
      <c r="O26" s="51"/>
      <c r="P26" s="53"/>
      <c r="Q26" s="53"/>
      <c r="R26" s="52"/>
      <c r="S26" s="69"/>
      <c r="T26" s="70"/>
      <c r="U26" s="71"/>
      <c r="V26" s="47"/>
      <c r="W26" s="47"/>
      <c r="X26" s="58"/>
      <c r="Y26" s="15"/>
    </row>
    <row r="27" spans="1:27" s="13" customFormat="1" ht="20.100000000000001" customHeight="1" thickTop="1" thickBot="1">
      <c r="E27" s="116"/>
      <c r="F27" s="13" t="s">
        <v>191</v>
      </c>
      <c r="G27" s="16" t="s">
        <v>180</v>
      </c>
      <c r="H27" s="51">
        <v>300</v>
      </c>
      <c r="I27" s="52"/>
      <c r="J27" s="53"/>
      <c r="K27" s="60"/>
      <c r="L27" s="77"/>
      <c r="M27" s="64"/>
      <c r="N27" s="52">
        <v>100</v>
      </c>
      <c r="O27" s="51"/>
      <c r="P27" s="53">
        <v>15</v>
      </c>
      <c r="Q27" s="53"/>
      <c r="R27" s="52"/>
      <c r="S27" s="69"/>
      <c r="T27" s="70"/>
      <c r="U27" s="71"/>
      <c r="V27" s="47"/>
      <c r="W27" s="47"/>
      <c r="X27" s="58"/>
      <c r="Y27" s="15"/>
    </row>
    <row r="28" spans="1:27" s="13" customFormat="1" ht="20.100000000000001" customHeight="1" thickTop="1" thickBot="1">
      <c r="E28" s="116"/>
      <c r="G28" s="16" t="s">
        <v>203</v>
      </c>
      <c r="H28" s="51">
        <v>100</v>
      </c>
      <c r="I28" s="52"/>
      <c r="J28" s="53"/>
      <c r="K28" s="60"/>
      <c r="L28" s="77"/>
      <c r="M28" s="64"/>
      <c r="N28" s="52">
        <v>100</v>
      </c>
      <c r="O28" s="51"/>
      <c r="P28" s="53">
        <v>5</v>
      </c>
      <c r="Q28" s="53"/>
      <c r="R28" s="52"/>
      <c r="S28" s="69"/>
      <c r="T28" s="70"/>
      <c r="U28" s="71"/>
      <c r="V28" s="47"/>
      <c r="W28" s="47"/>
      <c r="X28" s="58"/>
      <c r="Y28" s="15"/>
    </row>
    <row r="29" spans="1:27" s="13" customFormat="1" ht="20.100000000000001" customHeight="1" thickTop="1" thickBot="1">
      <c r="E29" s="116"/>
      <c r="G29" s="16" t="s">
        <v>205</v>
      </c>
      <c r="H29" s="51">
        <v>200</v>
      </c>
      <c r="I29" s="52"/>
      <c r="J29" s="53"/>
      <c r="K29" s="60"/>
      <c r="L29" s="77"/>
      <c r="M29" s="64"/>
      <c r="N29" s="52">
        <v>100</v>
      </c>
      <c r="O29" s="51"/>
      <c r="P29" s="53">
        <v>5</v>
      </c>
      <c r="Q29" s="53"/>
      <c r="R29" s="52"/>
      <c r="S29" s="69"/>
      <c r="T29" s="70"/>
      <c r="U29" s="71"/>
      <c r="V29" s="47"/>
      <c r="W29" s="47"/>
      <c r="X29" s="58"/>
      <c r="Y29" s="15"/>
    </row>
    <row r="30" spans="1:27" s="13" customFormat="1" ht="20.100000000000001" customHeight="1" thickTop="1" thickBot="1">
      <c r="E30" s="116"/>
      <c r="G30" s="16" t="s">
        <v>207</v>
      </c>
      <c r="H30" s="51">
        <v>150</v>
      </c>
      <c r="I30" s="52"/>
      <c r="J30" s="53"/>
      <c r="K30" s="60"/>
      <c r="L30" s="77"/>
      <c r="M30" s="64"/>
      <c r="N30" s="52">
        <v>100</v>
      </c>
      <c r="O30" s="51"/>
      <c r="P30" s="53">
        <v>5</v>
      </c>
      <c r="Q30" s="53"/>
      <c r="R30" s="52"/>
      <c r="S30" s="69"/>
      <c r="T30" s="70"/>
      <c r="U30" s="71"/>
      <c r="V30" s="47"/>
      <c r="W30" s="47"/>
      <c r="X30" s="58"/>
      <c r="Y30" s="15"/>
    </row>
    <row r="31" spans="1:27" s="13" customFormat="1" ht="20.100000000000001" customHeight="1" thickTop="1" thickBot="1">
      <c r="E31" s="116"/>
      <c r="G31" s="16" t="s">
        <v>209</v>
      </c>
      <c r="H31" s="29">
        <v>300</v>
      </c>
      <c r="I31" s="57"/>
      <c r="J31" s="14"/>
      <c r="K31" s="16"/>
      <c r="L31" s="77"/>
      <c r="M31" s="64"/>
      <c r="N31" s="57">
        <v>150</v>
      </c>
      <c r="O31" s="29"/>
      <c r="P31" s="14">
        <v>10</v>
      </c>
      <c r="Q31" s="14"/>
      <c r="R31" s="57"/>
      <c r="S31" s="69"/>
      <c r="T31" s="70"/>
      <c r="U31" s="71"/>
      <c r="V31" s="47"/>
      <c r="W31" s="47"/>
      <c r="X31" s="58"/>
      <c r="Y31" s="15"/>
    </row>
    <row r="32" spans="1:27" s="13" customFormat="1" ht="20.100000000000001" customHeight="1" thickTop="1" thickBot="1">
      <c r="E32" s="116"/>
      <c r="G32" s="16" t="s">
        <v>211</v>
      </c>
      <c r="H32" s="29">
        <v>200</v>
      </c>
      <c r="I32" s="57"/>
      <c r="J32" s="14"/>
      <c r="K32" s="16"/>
      <c r="L32" s="77"/>
      <c r="M32" s="64"/>
      <c r="N32" s="57">
        <v>100</v>
      </c>
      <c r="O32" s="29"/>
      <c r="P32" s="14">
        <v>7</v>
      </c>
      <c r="Q32" s="14"/>
      <c r="R32" s="57"/>
      <c r="S32" s="69"/>
      <c r="T32" s="70"/>
      <c r="U32" s="71"/>
      <c r="V32" s="47"/>
      <c r="W32" s="47"/>
      <c r="X32" s="58"/>
      <c r="Y32" s="15"/>
    </row>
    <row r="33" spans="5:25" s="13" customFormat="1" ht="20.100000000000001" customHeight="1" thickTop="1" thickBot="1">
      <c r="E33" s="116"/>
      <c r="G33" s="16"/>
      <c r="H33" s="29"/>
      <c r="I33" s="57"/>
      <c r="J33" s="14"/>
      <c r="K33" s="16"/>
      <c r="L33" s="77"/>
      <c r="M33" s="64"/>
      <c r="N33" s="57"/>
      <c r="O33" s="29"/>
      <c r="P33" s="14"/>
      <c r="Q33" s="14"/>
      <c r="R33" s="57"/>
      <c r="S33" s="69"/>
      <c r="T33" s="70"/>
      <c r="U33" s="71"/>
      <c r="V33" s="47"/>
      <c r="W33" s="47"/>
      <c r="X33" s="58"/>
      <c r="Y33" s="15"/>
    </row>
    <row r="34" spans="5:25" s="13" customFormat="1" ht="20.100000000000001" customHeight="1" thickTop="1" thickBot="1">
      <c r="E34" s="116"/>
      <c r="F34" s="13" t="s">
        <v>69</v>
      </c>
      <c r="G34" s="16" t="s">
        <v>230</v>
      </c>
      <c r="H34" s="29"/>
      <c r="I34" s="57"/>
      <c r="J34" s="14"/>
      <c r="K34" s="16"/>
      <c r="L34" s="77"/>
      <c r="M34" s="64"/>
      <c r="N34" s="57"/>
      <c r="O34" s="29"/>
      <c r="P34" s="14">
        <v>7</v>
      </c>
      <c r="Q34" s="14"/>
      <c r="R34" s="57"/>
      <c r="S34" s="69"/>
      <c r="T34" s="70"/>
      <c r="U34" s="71"/>
      <c r="V34" s="47"/>
      <c r="W34" s="47"/>
      <c r="X34" s="58"/>
      <c r="Y34" s="15"/>
    </row>
    <row r="35" spans="5:25" s="13" customFormat="1" ht="20.100000000000001" customHeight="1" thickTop="1" thickBot="1">
      <c r="E35" s="116"/>
      <c r="G35" s="16" t="s">
        <v>232</v>
      </c>
      <c r="H35" s="29"/>
      <c r="I35" s="57"/>
      <c r="J35" s="14"/>
      <c r="K35" s="16"/>
      <c r="L35" s="77"/>
      <c r="M35" s="64"/>
      <c r="N35" s="57"/>
      <c r="O35" s="29"/>
      <c r="P35" s="14">
        <v>6</v>
      </c>
      <c r="Q35" s="14"/>
      <c r="R35" s="57"/>
      <c r="S35" s="69"/>
      <c r="T35" s="70"/>
      <c r="U35" s="71"/>
      <c r="V35" s="47"/>
      <c r="W35" s="47"/>
      <c r="X35" s="58"/>
      <c r="Y35" s="15"/>
    </row>
    <row r="36" spans="5:25" s="13" customFormat="1" ht="20.100000000000001" customHeight="1" thickTop="1" thickBot="1">
      <c r="E36" s="116"/>
      <c r="G36" s="16" t="s">
        <v>234</v>
      </c>
      <c r="H36" s="29"/>
      <c r="I36" s="57"/>
      <c r="J36" s="14"/>
      <c r="K36" s="16"/>
      <c r="L36" s="77"/>
      <c r="M36" s="64"/>
      <c r="N36" s="57"/>
      <c r="O36" s="29"/>
      <c r="P36" s="14">
        <v>5</v>
      </c>
      <c r="Q36" s="14"/>
      <c r="R36" s="57"/>
      <c r="S36" s="69"/>
      <c r="T36" s="70"/>
      <c r="U36" s="71"/>
      <c r="V36" s="47"/>
      <c r="W36" s="47"/>
      <c r="X36" s="58"/>
      <c r="Y36" s="15"/>
    </row>
    <row r="37" spans="5:25" s="13" customFormat="1" ht="20.100000000000001" customHeight="1" thickTop="1" thickBot="1">
      <c r="E37" s="116"/>
      <c r="G37" s="16" t="s">
        <v>236</v>
      </c>
      <c r="H37" s="29"/>
      <c r="I37" s="57"/>
      <c r="J37" s="14"/>
      <c r="K37" s="16"/>
      <c r="L37" s="77"/>
      <c r="M37" s="64"/>
      <c r="N37" s="57"/>
      <c r="O37" s="29"/>
      <c r="P37" s="14">
        <v>8</v>
      </c>
      <c r="Q37" s="14"/>
      <c r="R37" s="57"/>
      <c r="S37" s="69"/>
      <c r="T37" s="70"/>
      <c r="U37" s="71"/>
      <c r="V37" s="47"/>
      <c r="W37" s="47"/>
      <c r="X37" s="58"/>
      <c r="Y37" s="15"/>
    </row>
    <row r="38" spans="5:25" s="13" customFormat="1" ht="20.100000000000001" customHeight="1" thickTop="1" thickBot="1">
      <c r="E38" s="116"/>
      <c r="G38" s="117" t="s">
        <v>238</v>
      </c>
      <c r="H38" s="29"/>
      <c r="I38" s="57"/>
      <c r="J38" s="14"/>
      <c r="K38" s="16"/>
      <c r="L38" s="77"/>
      <c r="M38" s="64"/>
      <c r="N38" s="57"/>
      <c r="O38" s="29"/>
      <c r="P38" s="14">
        <v>8</v>
      </c>
      <c r="Q38" s="14"/>
      <c r="R38" s="57"/>
      <c r="S38" s="69"/>
      <c r="T38" s="70"/>
      <c r="U38" s="71"/>
      <c r="V38" s="47"/>
      <c r="W38" s="47"/>
      <c r="X38" s="58"/>
      <c r="Y38" s="15"/>
    </row>
    <row r="39" spans="5:25" s="13" customFormat="1" ht="20.100000000000001" customHeight="1" thickTop="1" thickBot="1">
      <c r="E39" s="116"/>
      <c r="G39" s="117" t="s">
        <v>240</v>
      </c>
      <c r="H39" s="29"/>
      <c r="I39" s="57"/>
      <c r="J39" s="14"/>
      <c r="K39" s="16"/>
      <c r="L39" s="77"/>
      <c r="M39" s="64"/>
      <c r="N39" s="57"/>
      <c r="O39" s="29"/>
      <c r="P39" s="14">
        <v>9</v>
      </c>
      <c r="Q39" s="14"/>
      <c r="R39" s="57"/>
      <c r="S39" s="69"/>
      <c r="T39" s="70"/>
      <c r="U39" s="71"/>
      <c r="V39" s="47"/>
      <c r="W39" s="47"/>
      <c r="X39" s="58"/>
      <c r="Y39" s="15"/>
    </row>
    <row r="40" spans="5:25" s="13" customFormat="1" ht="20.100000000000001" customHeight="1" thickTop="1" thickBot="1">
      <c r="E40" s="116"/>
      <c r="G40" s="117" t="s">
        <v>242</v>
      </c>
      <c r="H40" s="29"/>
      <c r="I40" s="57"/>
      <c r="J40" s="14"/>
      <c r="K40" s="16"/>
      <c r="L40" s="77"/>
      <c r="M40" s="64"/>
      <c r="N40" s="57"/>
      <c r="O40" s="29"/>
      <c r="P40" s="14">
        <v>9</v>
      </c>
      <c r="Q40" s="14"/>
      <c r="R40" s="57"/>
      <c r="S40" s="69"/>
      <c r="T40" s="70"/>
      <c r="U40" s="71"/>
      <c r="V40" s="47"/>
      <c r="W40" s="47"/>
      <c r="X40" s="58"/>
      <c r="Y40" s="15"/>
    </row>
    <row r="41" spans="5:25" s="13" customFormat="1" ht="20.100000000000001" customHeight="1" thickTop="1" thickBot="1">
      <c r="E41" s="116"/>
      <c r="G41" s="117" t="s">
        <v>244</v>
      </c>
      <c r="H41" s="29"/>
      <c r="I41" s="57"/>
      <c r="J41" s="14"/>
      <c r="K41" s="16"/>
      <c r="L41" s="77"/>
      <c r="M41" s="64"/>
      <c r="N41" s="57"/>
      <c r="O41" s="29"/>
      <c r="P41" s="14">
        <v>9</v>
      </c>
      <c r="Q41" s="14"/>
      <c r="R41" s="57"/>
      <c r="S41" s="69"/>
      <c r="T41" s="70"/>
      <c r="U41" s="71"/>
      <c r="V41" s="47"/>
      <c r="W41" s="47"/>
      <c r="X41" s="58"/>
      <c r="Y41" s="15"/>
    </row>
    <row r="42" spans="5:25" s="13" customFormat="1" ht="20.100000000000001" customHeight="1" thickTop="1" thickBot="1">
      <c r="E42" s="116"/>
      <c r="G42" s="117" t="s">
        <v>246</v>
      </c>
      <c r="H42" s="29"/>
      <c r="I42" s="57"/>
      <c r="J42" s="14"/>
      <c r="K42" s="16"/>
      <c r="L42" s="77"/>
      <c r="M42" s="64"/>
      <c r="N42" s="57"/>
      <c r="O42" s="29"/>
      <c r="P42" s="14">
        <v>10</v>
      </c>
      <c r="Q42" s="14"/>
      <c r="R42" s="57"/>
      <c r="S42" s="69"/>
      <c r="T42" s="70"/>
      <c r="U42" s="71"/>
      <c r="V42" s="47"/>
      <c r="W42" s="47"/>
      <c r="X42" s="58"/>
      <c r="Y42" s="15"/>
    </row>
    <row r="43" spans="5:25" s="13" customFormat="1" ht="20.100000000000001" customHeight="1" thickTop="1" thickBot="1">
      <c r="E43" s="116"/>
      <c r="G43" s="117" t="s">
        <v>248</v>
      </c>
      <c r="H43" s="29"/>
      <c r="I43" s="57"/>
      <c r="J43" s="14"/>
      <c r="K43" s="16"/>
      <c r="L43" s="77"/>
      <c r="M43" s="64"/>
      <c r="N43" s="57"/>
      <c r="O43" s="29"/>
      <c r="P43" s="14">
        <v>8</v>
      </c>
      <c r="Q43" s="14"/>
      <c r="R43" s="57"/>
      <c r="S43" s="69"/>
      <c r="T43" s="70"/>
      <c r="U43" s="71"/>
      <c r="V43" s="47"/>
      <c r="W43" s="47"/>
      <c r="X43" s="58"/>
      <c r="Y43" s="15"/>
    </row>
    <row r="44" spans="5:25" s="13" customFormat="1" ht="20.100000000000001" customHeight="1" thickTop="1" thickBot="1">
      <c r="E44" s="116"/>
      <c r="G44" s="117" t="s">
        <v>250</v>
      </c>
      <c r="H44" s="29"/>
      <c r="I44" s="57"/>
      <c r="J44" s="14"/>
      <c r="K44" s="16"/>
      <c r="L44" s="77"/>
      <c r="M44" s="64"/>
      <c r="N44" s="57"/>
      <c r="O44" s="29"/>
      <c r="P44" s="14">
        <v>8</v>
      </c>
      <c r="Q44" s="14"/>
      <c r="R44" s="57"/>
      <c r="S44" s="69"/>
      <c r="T44" s="70"/>
      <c r="U44" s="71"/>
      <c r="V44" s="47"/>
      <c r="W44" s="47"/>
      <c r="X44" s="58"/>
      <c r="Y44" s="15"/>
    </row>
    <row r="45" spans="5:25" s="13" customFormat="1" ht="20.100000000000001" customHeight="1" thickTop="1" thickBot="1">
      <c r="E45" s="116"/>
      <c r="G45" s="117" t="s">
        <v>252</v>
      </c>
      <c r="H45" s="51"/>
      <c r="I45" s="52"/>
      <c r="J45" s="53"/>
      <c r="K45" s="60"/>
      <c r="L45" s="77"/>
      <c r="M45" s="64"/>
      <c r="N45" s="52"/>
      <c r="O45" s="51"/>
      <c r="P45" s="53">
        <v>6</v>
      </c>
      <c r="Q45" s="53"/>
      <c r="R45" s="52"/>
      <c r="S45" s="69"/>
      <c r="T45" s="70"/>
      <c r="U45" s="71"/>
      <c r="V45" s="47"/>
      <c r="W45" s="47"/>
      <c r="X45" s="58"/>
      <c r="Y45" s="15"/>
    </row>
    <row r="46" spans="5:25" s="13" customFormat="1" ht="20.100000000000001" customHeight="1" thickTop="1">
      <c r="E46" s="116"/>
      <c r="G46" s="84"/>
      <c r="H46" s="80"/>
      <c r="I46" s="81"/>
      <c r="J46" s="82"/>
      <c r="K46" s="79"/>
      <c r="L46" s="85"/>
      <c r="M46" s="86"/>
      <c r="N46" s="81"/>
      <c r="O46" s="80"/>
      <c r="P46" s="82"/>
      <c r="Q46" s="82"/>
      <c r="R46" s="81"/>
      <c r="S46" s="87"/>
      <c r="T46" s="88"/>
      <c r="U46" s="89"/>
      <c r="V46" s="15"/>
      <c r="W46" s="15"/>
      <c r="X46" s="58"/>
      <c r="Y46" s="15"/>
    </row>
    <row r="47" spans="5:25" s="13" customFormat="1" ht="20.100000000000001" customHeight="1" thickBot="1">
      <c r="E47" s="116"/>
      <c r="F47" s="90" t="s">
        <v>49</v>
      </c>
      <c r="G47" s="91"/>
      <c r="H47" s="92"/>
      <c r="I47" s="93"/>
      <c r="J47" s="94"/>
      <c r="K47" s="91"/>
      <c r="L47" s="95"/>
      <c r="M47" s="96"/>
      <c r="N47" s="93"/>
      <c r="O47" s="92"/>
      <c r="P47" s="94"/>
      <c r="Q47" s="94"/>
      <c r="R47" s="93"/>
      <c r="S47" s="97"/>
      <c r="T47" s="98"/>
      <c r="U47" s="99"/>
      <c r="V47" s="100"/>
      <c r="W47" s="100"/>
      <c r="X47" s="101"/>
      <c r="Y47" s="15"/>
    </row>
    <row r="48" spans="5:25" s="13" customFormat="1" ht="20.100000000000001" customHeight="1" thickTop="1">
      <c r="G48" s="16"/>
      <c r="H48" s="29"/>
      <c r="I48" s="57"/>
      <c r="J48" s="14"/>
      <c r="K48" s="16"/>
      <c r="L48" s="83"/>
      <c r="M48" s="64"/>
      <c r="N48" s="57"/>
      <c r="O48" s="29"/>
      <c r="P48" s="14"/>
      <c r="Q48" s="14"/>
      <c r="R48" s="57"/>
      <c r="S48" s="69"/>
      <c r="T48" s="70"/>
      <c r="U48" s="71"/>
      <c r="V48" s="15"/>
      <c r="W48" s="15"/>
      <c r="X48" s="15"/>
      <c r="Y48" s="15"/>
    </row>
    <row r="49" spans="2:27" s="13" customFormat="1" ht="20.100000000000001" customHeight="1">
      <c r="F49" s="13" t="s">
        <v>212</v>
      </c>
      <c r="G49" s="16" t="s">
        <v>213</v>
      </c>
      <c r="H49" s="29"/>
      <c r="I49" s="57"/>
      <c r="J49" s="14"/>
      <c r="K49" s="16"/>
      <c r="L49" s="83"/>
      <c r="M49" s="64"/>
      <c r="N49" s="57"/>
      <c r="O49" s="29"/>
      <c r="P49" s="14"/>
      <c r="Q49" s="14"/>
      <c r="R49" s="57"/>
      <c r="S49" s="69"/>
      <c r="T49" s="70"/>
      <c r="U49" s="71"/>
      <c r="V49" s="15"/>
      <c r="W49" s="15"/>
      <c r="X49" s="15"/>
      <c r="Y49" s="15"/>
    </row>
    <row r="50" spans="2:27" s="13" customFormat="1" ht="20.100000000000001" customHeight="1">
      <c r="G50" s="16"/>
      <c r="H50" s="29"/>
      <c r="I50" s="57"/>
      <c r="J50" s="14"/>
      <c r="K50" s="16"/>
      <c r="L50" s="83"/>
      <c r="M50" s="64"/>
      <c r="N50" s="57"/>
      <c r="O50" s="29"/>
      <c r="P50" s="14"/>
      <c r="Q50" s="14"/>
      <c r="R50" s="57"/>
      <c r="S50" s="69"/>
      <c r="T50" s="70"/>
      <c r="U50" s="71"/>
      <c r="V50" s="47"/>
      <c r="W50" s="47"/>
      <c r="X50" s="15"/>
      <c r="Y50" s="15"/>
    </row>
    <row r="51" spans="2:27" s="102" customFormat="1" ht="20.100000000000001" customHeight="1">
      <c r="G51" s="103">
        <f>SUBTOTAL(109,G4:G47)</f>
        <v>0</v>
      </c>
      <c r="H51" s="104">
        <f>SUBTOTAL(109,H4:H47)</f>
        <v>4050</v>
      </c>
      <c r="I51" s="105"/>
      <c r="J51" s="106">
        <f>SUBTOTAL(109,J4:J50)</f>
        <v>900</v>
      </c>
      <c r="K51" s="103"/>
      <c r="L51" s="107"/>
      <c r="M51" s="108">
        <f>SUBTOTAL(109,M4:M50)</f>
        <v>700</v>
      </c>
      <c r="N51" s="105">
        <f>SUBTOTAL(109,N4:N50)</f>
        <v>1550</v>
      </c>
      <c r="O51" s="104"/>
      <c r="P51" s="106"/>
      <c r="Q51" s="106"/>
      <c r="R51" s="105"/>
      <c r="S51" s="109"/>
      <c r="T51" s="110"/>
      <c r="U51" s="111"/>
      <c r="V51" s="112"/>
      <c r="W51" s="112"/>
      <c r="X51" s="113"/>
      <c r="Y51" s="113"/>
    </row>
    <row r="52" spans="2:27" s="15" customFormat="1" ht="20.100000000000001" customHeight="1" thickBot="1">
      <c r="G52" s="60"/>
      <c r="H52" s="51"/>
      <c r="I52" s="52"/>
      <c r="J52" s="53"/>
      <c r="K52" s="60"/>
      <c r="L52" s="78"/>
      <c r="M52" s="63"/>
      <c r="N52" s="52"/>
      <c r="O52" s="51"/>
      <c r="P52" s="53"/>
      <c r="Q52" s="53"/>
      <c r="R52" s="52"/>
      <c r="S52" s="72"/>
      <c r="T52" s="73"/>
      <c r="U52" s="74"/>
      <c r="V52" s="47"/>
      <c r="W52" s="47"/>
    </row>
    <row r="53" spans="2:27" s="13" customFormat="1" ht="20.100000000000001" customHeight="1" thickTop="1" thickBot="1">
      <c r="G53" s="16"/>
      <c r="H53" s="51"/>
      <c r="I53" s="52"/>
      <c r="J53" s="53"/>
      <c r="K53" s="60"/>
      <c r="L53" s="77"/>
      <c r="M53" s="65"/>
      <c r="N53" s="52"/>
      <c r="O53" s="51"/>
      <c r="P53" s="53"/>
      <c r="Q53" s="53"/>
      <c r="R53" s="52"/>
      <c r="S53" s="69"/>
      <c r="T53" s="70"/>
      <c r="U53" s="71"/>
      <c r="V53" s="47"/>
      <c r="W53" s="47"/>
      <c r="X53" s="15"/>
      <c r="Y53" s="15"/>
    </row>
    <row r="54" spans="2:27" s="13" customFormat="1" ht="20.100000000000001" customHeight="1" thickTop="1" thickBot="1">
      <c r="B54" s="13" t="s">
        <v>51</v>
      </c>
      <c r="F54" s="13" t="s">
        <v>46</v>
      </c>
      <c r="G54" s="16" t="s">
        <v>28</v>
      </c>
      <c r="H54" s="51">
        <v>200</v>
      </c>
      <c r="I54" s="52"/>
      <c r="J54" s="53"/>
      <c r="K54" s="60"/>
      <c r="L54" s="77">
        <v>100</v>
      </c>
      <c r="M54" s="65">
        <v>100</v>
      </c>
      <c r="N54" s="52"/>
      <c r="O54" s="51"/>
      <c r="P54" s="53"/>
      <c r="Q54" s="53"/>
      <c r="R54" s="52"/>
      <c r="S54" s="69"/>
      <c r="T54" s="70"/>
      <c r="U54" s="71"/>
      <c r="V54" s="47"/>
      <c r="W54" s="47"/>
      <c r="X54" s="15"/>
      <c r="Y54" s="15"/>
    </row>
    <row r="55" spans="2:27" s="13" customFormat="1" ht="20.100000000000001" customHeight="1" thickTop="1" thickBot="1">
      <c r="G55" s="16" t="s">
        <v>27</v>
      </c>
      <c r="H55" s="29">
        <v>300</v>
      </c>
      <c r="I55" s="57"/>
      <c r="J55" s="14"/>
      <c r="K55" s="16"/>
      <c r="L55" s="77">
        <v>100</v>
      </c>
      <c r="M55" s="65">
        <v>100</v>
      </c>
      <c r="N55" s="57"/>
      <c r="O55" s="29"/>
      <c r="P55" s="14"/>
      <c r="Q55" s="14"/>
      <c r="R55" s="57"/>
      <c r="S55" s="69"/>
      <c r="T55" s="70"/>
      <c r="U55" s="71"/>
      <c r="V55" s="47"/>
      <c r="W55" s="47"/>
      <c r="X55" s="15"/>
      <c r="Y55" s="15"/>
    </row>
    <row r="56" spans="2:27" s="13" customFormat="1" ht="20.100000000000001" customHeight="1" thickTop="1" thickBot="1">
      <c r="B56" s="13" t="s">
        <v>51</v>
      </c>
      <c r="G56" s="16" t="s">
        <v>29</v>
      </c>
      <c r="H56" s="51">
        <v>100</v>
      </c>
      <c r="I56" s="52"/>
      <c r="J56" s="53"/>
      <c r="K56" s="60">
        <v>300</v>
      </c>
      <c r="L56" s="77">
        <v>100</v>
      </c>
      <c r="M56" s="64">
        <v>100</v>
      </c>
      <c r="N56" s="52"/>
      <c r="O56" s="51"/>
      <c r="P56" s="53"/>
      <c r="Q56" s="53"/>
      <c r="R56" s="52"/>
      <c r="S56" s="69"/>
      <c r="T56" s="70"/>
      <c r="U56" s="71"/>
      <c r="V56" s="47"/>
      <c r="W56" s="47"/>
      <c r="X56" s="15"/>
      <c r="Y56" s="15"/>
    </row>
    <row r="57" spans="2:27" s="13" customFormat="1" ht="20.100000000000001" customHeight="1" thickTop="1" thickBot="1">
      <c r="B57" s="13" t="s">
        <v>51</v>
      </c>
      <c r="G57" s="16" t="s">
        <v>30</v>
      </c>
      <c r="H57" s="51">
        <v>300</v>
      </c>
      <c r="I57" s="52"/>
      <c r="J57" s="53"/>
      <c r="K57" s="60"/>
      <c r="L57" s="77">
        <v>100</v>
      </c>
      <c r="M57" s="65"/>
      <c r="N57" s="52">
        <v>100</v>
      </c>
      <c r="O57" s="51"/>
      <c r="P57" s="53"/>
      <c r="Q57" s="53"/>
      <c r="R57" s="52"/>
      <c r="S57" s="69"/>
      <c r="T57" s="70"/>
      <c r="U57" s="71"/>
      <c r="V57" s="47"/>
      <c r="W57" s="47"/>
      <c r="X57" s="15"/>
      <c r="Y57" s="15"/>
    </row>
    <row r="58" spans="2:27" s="13" customFormat="1" ht="20.100000000000001" customHeight="1" thickTop="1" thickBot="1">
      <c r="B58" s="13" t="s">
        <v>51</v>
      </c>
      <c r="C58" s="13" t="s">
        <v>128</v>
      </c>
      <c r="G58" s="16" t="s">
        <v>31</v>
      </c>
      <c r="H58" s="51">
        <v>300</v>
      </c>
      <c r="I58" s="52"/>
      <c r="J58" s="53"/>
      <c r="K58" s="60"/>
      <c r="L58" s="77">
        <v>100</v>
      </c>
      <c r="M58" s="64"/>
      <c r="N58" s="52">
        <v>100</v>
      </c>
      <c r="O58" s="51"/>
      <c r="P58" s="53"/>
      <c r="Q58" s="53"/>
      <c r="R58" s="52"/>
      <c r="S58" s="69"/>
      <c r="T58" s="70"/>
      <c r="U58" s="71"/>
      <c r="V58" s="47"/>
      <c r="W58" s="47"/>
      <c r="X58" s="15"/>
      <c r="Y58" s="15"/>
    </row>
    <row r="59" spans="2:27" s="13" customFormat="1" ht="20.100000000000001" customHeight="1" thickTop="1" thickBot="1">
      <c r="C59" s="13" t="s">
        <v>128</v>
      </c>
      <c r="G59" s="16" t="s">
        <v>173</v>
      </c>
      <c r="H59" s="51">
        <v>200</v>
      </c>
      <c r="I59" s="52"/>
      <c r="J59" s="53"/>
      <c r="K59" s="60"/>
      <c r="L59" s="77">
        <v>100</v>
      </c>
      <c r="M59" s="65">
        <v>100</v>
      </c>
      <c r="N59" s="52">
        <v>50</v>
      </c>
      <c r="O59" s="51"/>
      <c r="P59" s="53"/>
      <c r="Q59" s="53"/>
      <c r="R59" s="52"/>
      <c r="S59" s="69"/>
      <c r="T59" s="70"/>
      <c r="U59" s="71"/>
      <c r="V59" s="47"/>
      <c r="W59" s="47"/>
      <c r="X59" s="15"/>
      <c r="Y59" s="15"/>
    </row>
    <row r="60" spans="2:27" s="13" customFormat="1" ht="20.100000000000001" customHeight="1" thickTop="1" thickBot="1">
      <c r="G60" s="16" t="s">
        <v>253</v>
      </c>
      <c r="H60" s="29">
        <v>200</v>
      </c>
      <c r="I60" s="57"/>
      <c r="J60" s="14"/>
      <c r="K60" s="16"/>
      <c r="L60" s="77">
        <v>100</v>
      </c>
      <c r="M60" s="64">
        <v>50</v>
      </c>
      <c r="N60" s="57">
        <v>50</v>
      </c>
      <c r="O60" s="29"/>
      <c r="P60" s="14"/>
      <c r="Q60" s="14"/>
      <c r="R60" s="57"/>
      <c r="S60" s="69"/>
      <c r="T60" s="70"/>
      <c r="U60" s="71"/>
      <c r="V60" s="27"/>
      <c r="W60" s="27"/>
      <c r="X60" s="15"/>
      <c r="Y60" s="15"/>
    </row>
    <row r="61" spans="2:27" s="13" customFormat="1" ht="20.100000000000001" customHeight="1" thickTop="1" thickBot="1">
      <c r="G61" s="16"/>
      <c r="H61" s="29"/>
      <c r="I61" s="57"/>
      <c r="J61" s="14"/>
      <c r="K61" s="16"/>
      <c r="L61" s="77"/>
      <c r="M61" s="64"/>
      <c r="N61" s="57"/>
      <c r="O61" s="29"/>
      <c r="P61" s="14"/>
      <c r="Q61" s="14"/>
      <c r="R61" s="57"/>
      <c r="S61" s="69"/>
      <c r="T61" s="70"/>
      <c r="U61" s="71"/>
      <c r="V61" s="47"/>
      <c r="W61" s="47"/>
      <c r="X61" s="15"/>
      <c r="Y61" s="15"/>
    </row>
    <row r="62" spans="2:27" ht="20.100000000000001" customHeight="1" thickTop="1" thickBot="1">
      <c r="B62" t="s">
        <v>51</v>
      </c>
      <c r="F62" s="13" t="s">
        <v>193</v>
      </c>
      <c r="G62" s="16" t="s">
        <v>70</v>
      </c>
      <c r="H62" s="29">
        <v>350</v>
      </c>
      <c r="I62" s="57"/>
      <c r="J62" s="14"/>
      <c r="K62" s="16"/>
      <c r="L62" s="77"/>
      <c r="M62" s="64">
        <v>100</v>
      </c>
      <c r="N62" s="57">
        <v>50</v>
      </c>
      <c r="O62" s="29"/>
      <c r="P62" s="5"/>
      <c r="Q62" s="5"/>
      <c r="R62" s="21"/>
      <c r="S62" s="69"/>
      <c r="T62" s="70"/>
      <c r="U62" s="71"/>
      <c r="V62" s="27"/>
      <c r="W62" s="27"/>
      <c r="Y62" s="2"/>
      <c r="Z62"/>
      <c r="AA62"/>
    </row>
    <row r="63" spans="2:27" ht="20.100000000000001" customHeight="1" thickTop="1" thickBot="1">
      <c r="G63" s="16"/>
      <c r="H63" s="29"/>
      <c r="I63" s="57"/>
      <c r="J63" s="14"/>
      <c r="K63" s="14"/>
      <c r="L63" s="77"/>
      <c r="M63" s="29"/>
      <c r="N63" s="57"/>
      <c r="O63" s="29"/>
      <c r="P63" s="5"/>
      <c r="Q63" s="5"/>
      <c r="R63" s="21"/>
      <c r="S63" s="69"/>
      <c r="T63" s="70"/>
      <c r="U63" s="71"/>
      <c r="V63" s="47"/>
      <c r="W63" s="47"/>
      <c r="Y63" s="2"/>
      <c r="Z63"/>
      <c r="AA63"/>
    </row>
    <row r="64" spans="2:27" ht="20.100000000000001" customHeight="1" thickTop="1" thickBot="1">
      <c r="B64" t="s">
        <v>51</v>
      </c>
      <c r="G64" s="16" t="s">
        <v>138</v>
      </c>
      <c r="H64" s="29">
        <v>250</v>
      </c>
      <c r="I64" s="57"/>
      <c r="J64" s="14"/>
      <c r="K64" s="16"/>
      <c r="L64" s="77">
        <v>100</v>
      </c>
      <c r="M64" s="129"/>
      <c r="N64" s="57">
        <v>100</v>
      </c>
      <c r="O64" s="29" t="s">
        <v>62</v>
      </c>
      <c r="P64" s="5"/>
      <c r="Q64" s="5"/>
      <c r="R64" s="21"/>
      <c r="S64" s="69"/>
      <c r="T64" s="70"/>
      <c r="U64" s="71"/>
      <c r="V64" s="27"/>
      <c r="W64" s="27"/>
      <c r="Y64" s="2"/>
      <c r="Z64"/>
      <c r="AA64"/>
    </row>
    <row r="65" spans="2:27" ht="20.100000000000001" customHeight="1" thickTop="1" thickBot="1">
      <c r="B65" t="s">
        <v>51</v>
      </c>
      <c r="G65" s="16" t="s">
        <v>36</v>
      </c>
      <c r="H65" s="29">
        <v>200</v>
      </c>
      <c r="I65" s="57">
        <v>200</v>
      </c>
      <c r="J65" s="14"/>
      <c r="K65" s="16"/>
      <c r="L65" s="77"/>
      <c r="M65" s="129"/>
      <c r="N65" s="57">
        <v>200</v>
      </c>
      <c r="O65" s="29"/>
      <c r="P65" s="5"/>
      <c r="Q65" s="5"/>
      <c r="R65" s="21"/>
      <c r="S65" s="69"/>
      <c r="T65" s="70"/>
      <c r="U65" s="71"/>
      <c r="V65" s="27"/>
      <c r="W65" s="27"/>
      <c r="Y65" s="2"/>
      <c r="Z65"/>
      <c r="AA65"/>
    </row>
    <row r="66" spans="2:27" ht="20.100000000000001" customHeight="1" thickTop="1" thickBot="1">
      <c r="B66" t="s">
        <v>51</v>
      </c>
      <c r="G66" s="16" t="s">
        <v>21</v>
      </c>
      <c r="H66" s="29">
        <v>600</v>
      </c>
      <c r="I66" s="57">
        <v>400</v>
      </c>
      <c r="J66" s="14"/>
      <c r="K66" s="16">
        <v>300</v>
      </c>
      <c r="L66" s="77">
        <v>200</v>
      </c>
      <c r="M66" s="64"/>
      <c r="N66" s="57">
        <v>300</v>
      </c>
      <c r="O66" s="44" t="s">
        <v>62</v>
      </c>
      <c r="P66" s="5"/>
      <c r="Q66" s="5"/>
      <c r="R66" s="21"/>
      <c r="S66" s="69"/>
      <c r="T66" s="70"/>
      <c r="U66" s="71"/>
      <c r="V66" s="27"/>
      <c r="W66" s="27"/>
      <c r="Y66" s="2"/>
      <c r="Z66"/>
      <c r="AA66"/>
    </row>
    <row r="67" spans="2:27" ht="19.5" customHeight="1" thickTop="1" thickBot="1">
      <c r="G67" s="16" t="s">
        <v>37</v>
      </c>
      <c r="H67" s="29">
        <v>250</v>
      </c>
      <c r="I67" s="57">
        <v>100</v>
      </c>
      <c r="J67" s="14"/>
      <c r="K67" s="16"/>
      <c r="L67" s="77"/>
      <c r="M67" s="64"/>
      <c r="N67" s="57">
        <v>100</v>
      </c>
      <c r="O67" s="50"/>
      <c r="P67" s="5"/>
      <c r="Q67" s="5"/>
      <c r="R67" s="21"/>
      <c r="S67" s="69"/>
      <c r="T67" s="70"/>
      <c r="U67" s="71"/>
      <c r="V67" s="27"/>
      <c r="W67" s="27"/>
      <c r="Y67" s="2"/>
      <c r="Z67"/>
      <c r="AA67"/>
    </row>
    <row r="68" spans="2:27" s="13" customFormat="1" ht="20.100000000000001" customHeight="1" thickTop="1" thickBot="1">
      <c r="B68" s="13" t="s">
        <v>51</v>
      </c>
      <c r="G68" s="16" t="s">
        <v>47</v>
      </c>
      <c r="H68" s="51">
        <v>300</v>
      </c>
      <c r="I68" s="52"/>
      <c r="J68" s="53"/>
      <c r="K68" s="60"/>
      <c r="L68" s="77">
        <v>100</v>
      </c>
      <c r="M68" s="64"/>
      <c r="N68" s="52">
        <v>100</v>
      </c>
      <c r="O68" s="51"/>
      <c r="P68" s="53"/>
      <c r="Q68" s="53"/>
      <c r="R68" s="52"/>
      <c r="S68" s="69"/>
      <c r="T68" s="70"/>
      <c r="U68" s="71"/>
      <c r="V68" s="47"/>
      <c r="W68" s="47"/>
      <c r="X68" s="15"/>
      <c r="Y68" s="15"/>
    </row>
    <row r="69" spans="2:27" s="13" customFormat="1" ht="20.100000000000001" customHeight="1" thickTop="1" thickBot="1">
      <c r="G69" s="16" t="s">
        <v>41</v>
      </c>
      <c r="H69" s="51">
        <v>300</v>
      </c>
      <c r="I69" s="52"/>
      <c r="J69" s="53"/>
      <c r="K69" s="60"/>
      <c r="L69" s="77"/>
      <c r="M69" s="64"/>
      <c r="N69" s="52">
        <v>100</v>
      </c>
      <c r="O69" s="51"/>
      <c r="P69" s="53"/>
      <c r="Q69" s="53"/>
      <c r="R69" s="52"/>
      <c r="S69" s="69"/>
      <c r="T69" s="70"/>
      <c r="U69" s="71"/>
      <c r="V69" s="47"/>
      <c r="W69" s="47"/>
      <c r="X69" s="15"/>
      <c r="Y69" s="15"/>
    </row>
    <row r="70" spans="2:27" s="13" customFormat="1" ht="20.100000000000001" customHeight="1" thickTop="1" thickBot="1">
      <c r="B70" s="13" t="s">
        <v>51</v>
      </c>
      <c r="G70" s="16" t="s">
        <v>35</v>
      </c>
      <c r="H70" s="51">
        <v>200</v>
      </c>
      <c r="I70" s="52"/>
      <c r="J70" s="53"/>
      <c r="K70" s="60"/>
      <c r="L70" s="77"/>
      <c r="M70" s="64">
        <v>50</v>
      </c>
      <c r="N70" s="52">
        <v>50</v>
      </c>
      <c r="O70" s="51"/>
      <c r="P70" s="53"/>
      <c r="Q70" s="53"/>
      <c r="R70" s="52"/>
      <c r="S70" s="69"/>
      <c r="T70" s="70"/>
      <c r="U70" s="71"/>
      <c r="V70" s="47"/>
      <c r="W70" s="47"/>
      <c r="X70" s="15"/>
      <c r="Y70" s="15"/>
    </row>
    <row r="71" spans="2:27" s="13" customFormat="1" ht="20.100000000000001" customHeight="1" thickTop="1" thickBot="1">
      <c r="B71" s="13" t="s">
        <v>51</v>
      </c>
      <c r="G71" s="16" t="s">
        <v>73</v>
      </c>
      <c r="H71" s="51">
        <v>100</v>
      </c>
      <c r="I71" s="52"/>
      <c r="J71" s="53"/>
      <c r="K71" s="60"/>
      <c r="L71" s="77"/>
      <c r="M71" s="64">
        <v>50</v>
      </c>
      <c r="N71" s="52"/>
      <c r="O71" s="51"/>
      <c r="P71" s="53"/>
      <c r="Q71" s="53"/>
      <c r="R71" s="52"/>
      <c r="S71" s="69"/>
      <c r="T71" s="70"/>
      <c r="U71" s="71"/>
      <c r="V71" s="47"/>
      <c r="W71" s="47"/>
      <c r="X71" s="15"/>
      <c r="Y71" s="15"/>
    </row>
    <row r="72" spans="2:27" ht="19.5" customHeight="1" thickTop="1" thickBot="1">
      <c r="G72" s="16" t="s">
        <v>153</v>
      </c>
      <c r="H72" s="29">
        <v>200</v>
      </c>
      <c r="I72" s="57"/>
      <c r="J72" s="14"/>
      <c r="K72" s="16"/>
      <c r="L72" s="77">
        <v>100</v>
      </c>
      <c r="M72" s="64"/>
      <c r="N72" s="57">
        <v>100</v>
      </c>
      <c r="O72" s="50"/>
      <c r="P72" s="5"/>
      <c r="Q72" s="5"/>
      <c r="R72" s="21"/>
      <c r="S72" s="69"/>
      <c r="T72" s="70"/>
      <c r="U72" s="71"/>
      <c r="V72" s="27"/>
      <c r="W72" s="27"/>
      <c r="Y72" s="2"/>
      <c r="Z72"/>
      <c r="AA72"/>
    </row>
    <row r="73" spans="2:27" ht="19.5" customHeight="1" thickTop="1" thickBot="1">
      <c r="G73" s="16"/>
      <c r="H73" s="29"/>
      <c r="I73" s="57"/>
      <c r="J73" s="14"/>
      <c r="K73" s="16"/>
      <c r="L73" s="77"/>
      <c r="M73" s="64"/>
      <c r="N73" s="57"/>
      <c r="O73" s="50"/>
      <c r="P73" s="5"/>
      <c r="Q73" s="5"/>
      <c r="R73" s="21"/>
      <c r="S73" s="69"/>
      <c r="T73" s="70"/>
      <c r="U73" s="71"/>
      <c r="V73" s="47"/>
      <c r="W73" s="47"/>
      <c r="Y73" s="2"/>
      <c r="Z73"/>
      <c r="AA73"/>
    </row>
    <row r="74" spans="2:27" ht="19.5" customHeight="1" thickTop="1" thickBot="1">
      <c r="G74" s="16"/>
      <c r="H74" s="29"/>
      <c r="I74" s="57"/>
      <c r="J74" s="14"/>
      <c r="K74" s="16"/>
      <c r="L74" s="77"/>
      <c r="M74" s="64"/>
      <c r="N74" s="57"/>
      <c r="O74" s="50"/>
      <c r="P74" s="5"/>
      <c r="Q74" s="5"/>
      <c r="R74" s="21"/>
      <c r="S74" s="69"/>
      <c r="T74" s="70"/>
      <c r="U74" s="71"/>
      <c r="V74" s="47"/>
      <c r="W74" s="47"/>
      <c r="Y74" s="2"/>
      <c r="Z74"/>
      <c r="AA74"/>
    </row>
    <row r="75" spans="2:27" ht="19.5" customHeight="1" thickTop="1" thickBot="1">
      <c r="G75" s="117" t="s">
        <v>244</v>
      </c>
      <c r="H75" s="29"/>
      <c r="I75" s="57"/>
      <c r="J75" s="14"/>
      <c r="K75" s="16"/>
      <c r="L75" s="77"/>
      <c r="M75" s="64"/>
      <c r="N75" s="57"/>
      <c r="O75" s="50"/>
      <c r="P75" s="5"/>
      <c r="Q75" s="5"/>
      <c r="R75" s="21"/>
      <c r="S75" s="69"/>
      <c r="T75" s="70"/>
      <c r="U75" s="71"/>
      <c r="V75" s="47"/>
      <c r="W75" s="47"/>
      <c r="Y75" s="2"/>
      <c r="Z75"/>
      <c r="AA75"/>
    </row>
    <row r="76" spans="2:27" ht="19.5" customHeight="1" thickTop="1" thickBot="1">
      <c r="G76" s="117" t="s">
        <v>246</v>
      </c>
      <c r="H76" s="29"/>
      <c r="I76" s="57"/>
      <c r="J76" s="14"/>
      <c r="K76" s="16"/>
      <c r="L76" s="77"/>
      <c r="M76" s="64"/>
      <c r="N76" s="57"/>
      <c r="O76" s="50"/>
      <c r="P76" s="5"/>
      <c r="Q76" s="5"/>
      <c r="R76" s="21"/>
      <c r="S76" s="69"/>
      <c r="T76" s="70"/>
      <c r="U76" s="71"/>
      <c r="V76" s="47"/>
      <c r="W76" s="47"/>
      <c r="Y76" s="2"/>
      <c r="Z76"/>
      <c r="AA76"/>
    </row>
    <row r="77" spans="2:27" ht="19.5" customHeight="1" thickTop="1" thickBot="1">
      <c r="G77" s="117" t="s">
        <v>248</v>
      </c>
      <c r="H77" s="29">
        <v>50</v>
      </c>
      <c r="I77" s="57"/>
      <c r="J77" s="14"/>
      <c r="K77" s="16"/>
      <c r="L77" s="77"/>
      <c r="M77" s="57">
        <v>50</v>
      </c>
      <c r="N77" s="57"/>
      <c r="O77" s="50"/>
      <c r="P77" s="5"/>
      <c r="Q77" s="5"/>
      <c r="R77" s="21"/>
      <c r="S77" s="69"/>
      <c r="T77" s="70"/>
      <c r="U77" s="71"/>
      <c r="V77" s="47"/>
      <c r="W77" s="47"/>
      <c r="Y77" s="2"/>
      <c r="Z77"/>
      <c r="AA77"/>
    </row>
    <row r="78" spans="2:27" ht="19.5" customHeight="1" thickTop="1" thickBot="1">
      <c r="G78" s="117" t="s">
        <v>250</v>
      </c>
      <c r="H78" s="29">
        <v>50</v>
      </c>
      <c r="I78" s="57"/>
      <c r="J78" s="14"/>
      <c r="K78" s="16"/>
      <c r="L78" s="77"/>
      <c r="M78" s="57">
        <v>50</v>
      </c>
      <c r="N78" s="57"/>
      <c r="O78" s="50"/>
      <c r="P78" s="5"/>
      <c r="Q78" s="5"/>
      <c r="R78" s="21"/>
      <c r="S78" s="69"/>
      <c r="T78" s="70"/>
      <c r="U78" s="71"/>
      <c r="V78" s="47"/>
      <c r="W78" s="47"/>
      <c r="Y78" s="2"/>
      <c r="Z78"/>
      <c r="AA78"/>
    </row>
    <row r="79" spans="2:27" ht="19.5" customHeight="1" thickTop="1" thickBot="1">
      <c r="G79" s="117" t="s">
        <v>252</v>
      </c>
      <c r="H79" s="29">
        <v>50</v>
      </c>
      <c r="I79" s="57"/>
      <c r="J79" s="14"/>
      <c r="K79" s="16"/>
      <c r="L79" s="77"/>
      <c r="M79" s="57">
        <v>50</v>
      </c>
      <c r="N79" s="57"/>
      <c r="O79" s="50"/>
      <c r="P79" s="5"/>
      <c r="Q79" s="5"/>
      <c r="R79" s="21"/>
      <c r="S79" s="69"/>
      <c r="T79" s="70"/>
      <c r="U79" s="71"/>
      <c r="V79" s="47"/>
      <c r="W79" s="47"/>
      <c r="Y79" s="2"/>
      <c r="Z79"/>
      <c r="AA79"/>
    </row>
    <row r="80" spans="2:27" ht="19.5" customHeight="1" thickTop="1" thickBot="1">
      <c r="G80" s="16"/>
      <c r="H80" s="29"/>
      <c r="I80" s="57"/>
      <c r="J80" s="14"/>
      <c r="K80" s="16"/>
      <c r="L80" s="77"/>
      <c r="M80" s="64"/>
      <c r="N80" s="57"/>
      <c r="O80" s="50"/>
      <c r="P80" s="5"/>
      <c r="Q80" s="5"/>
      <c r="R80" s="21"/>
      <c r="S80" s="69"/>
      <c r="T80" s="70"/>
      <c r="U80" s="71"/>
      <c r="V80" s="47"/>
      <c r="W80" s="47"/>
      <c r="Y80" s="2"/>
      <c r="Z80"/>
      <c r="AA80"/>
    </row>
    <row r="81" spans="1:27" ht="19.5" customHeight="1" thickTop="1" thickBot="1">
      <c r="G81" s="16"/>
      <c r="H81" s="29"/>
      <c r="I81" s="57"/>
      <c r="J81" s="14"/>
      <c r="K81" s="16"/>
      <c r="L81" s="77"/>
      <c r="M81" s="64"/>
      <c r="N81" s="57"/>
      <c r="O81" s="50"/>
      <c r="P81" s="5"/>
      <c r="Q81" s="5"/>
      <c r="R81" s="21"/>
      <c r="S81" s="69"/>
      <c r="T81" s="70"/>
      <c r="U81" s="71"/>
      <c r="V81" s="47"/>
      <c r="W81" s="47"/>
      <c r="Y81" s="2"/>
      <c r="Z81"/>
      <c r="AA81"/>
    </row>
    <row r="82" spans="1:27" ht="19.5" customHeight="1" thickTop="1" thickBot="1">
      <c r="G82" s="16"/>
      <c r="H82" s="29"/>
      <c r="I82" s="57"/>
      <c r="J82" s="14"/>
      <c r="K82" s="16"/>
      <c r="L82" s="77"/>
      <c r="M82" s="64"/>
      <c r="N82" s="57"/>
      <c r="O82" s="50"/>
      <c r="P82" s="5"/>
      <c r="Q82" s="5"/>
      <c r="R82" s="21"/>
      <c r="S82" s="69"/>
      <c r="T82" s="70"/>
      <c r="U82" s="71"/>
      <c r="V82" s="47"/>
      <c r="W82" s="47"/>
      <c r="Y82" s="2"/>
      <c r="Z82"/>
      <c r="AA82"/>
    </row>
    <row r="83" spans="1:27" ht="19.5" customHeight="1" thickTop="1" thickBot="1">
      <c r="G83" s="16"/>
      <c r="H83" s="29"/>
      <c r="I83" s="57"/>
      <c r="J83" s="14"/>
      <c r="K83" s="16"/>
      <c r="L83" s="77"/>
      <c r="M83" s="64"/>
      <c r="N83" s="57"/>
      <c r="O83" s="50"/>
      <c r="P83" s="5"/>
      <c r="Q83" s="5"/>
      <c r="R83" s="21"/>
      <c r="S83" s="69"/>
      <c r="T83" s="70"/>
      <c r="U83" s="71"/>
      <c r="V83" s="47"/>
      <c r="W83" s="47"/>
      <c r="Y83" s="2"/>
      <c r="Z83"/>
      <c r="AA83"/>
    </row>
    <row r="84" spans="1:27" ht="19.5" customHeight="1" thickTop="1" thickBot="1">
      <c r="G84" s="16"/>
      <c r="H84" s="29"/>
      <c r="I84" s="57"/>
      <c r="J84" s="14"/>
      <c r="K84" s="16"/>
      <c r="L84" s="77"/>
      <c r="M84" s="64"/>
      <c r="N84" s="57"/>
      <c r="O84" s="50"/>
      <c r="P84" s="5"/>
      <c r="Q84" s="5"/>
      <c r="R84" s="21"/>
      <c r="S84" s="69"/>
      <c r="T84" s="70"/>
      <c r="U84" s="71"/>
      <c r="V84" s="47"/>
      <c r="W84" s="47"/>
      <c r="Y84" s="2"/>
      <c r="Z84"/>
      <c r="AA84"/>
    </row>
    <row r="85" spans="1:27" ht="19.5" customHeight="1" thickTop="1" thickBot="1">
      <c r="G85" s="16"/>
      <c r="H85" s="29"/>
      <c r="I85" s="57"/>
      <c r="J85" s="14"/>
      <c r="K85" s="16"/>
      <c r="L85" s="77"/>
      <c r="M85" s="64"/>
      <c r="N85" s="57"/>
      <c r="O85" s="50"/>
      <c r="P85" s="5"/>
      <c r="Q85" s="5"/>
      <c r="R85" s="21"/>
      <c r="S85" s="69"/>
      <c r="T85" s="70"/>
      <c r="U85" s="71"/>
      <c r="V85" s="47"/>
      <c r="W85" s="47"/>
      <c r="Y85" s="2"/>
      <c r="Z85"/>
      <c r="AA85"/>
    </row>
    <row r="86" spans="1:27" ht="19.5" customHeight="1" thickTop="1" thickBot="1">
      <c r="G86" s="16"/>
      <c r="H86" s="29"/>
      <c r="I86" s="57"/>
      <c r="J86" s="14"/>
      <c r="K86" s="16"/>
      <c r="L86" s="77"/>
      <c r="M86" s="64"/>
      <c r="N86" s="57"/>
      <c r="O86" s="50"/>
      <c r="P86" s="5"/>
      <c r="Q86" s="5"/>
      <c r="R86" s="21"/>
      <c r="S86" s="69"/>
      <c r="T86" s="70"/>
      <c r="U86" s="71"/>
      <c r="V86" s="47"/>
      <c r="W86" s="47"/>
      <c r="Y86" s="2"/>
      <c r="Z86"/>
      <c r="AA86"/>
    </row>
    <row r="87" spans="1:27" ht="18" customHeight="1" thickTop="1" thickBot="1">
      <c r="G87" s="16"/>
      <c r="H87" s="29"/>
      <c r="I87" s="57"/>
      <c r="J87" s="14"/>
      <c r="K87" s="16"/>
      <c r="L87" s="77"/>
      <c r="M87" s="64"/>
      <c r="N87" s="57"/>
      <c r="O87" s="50"/>
      <c r="P87" s="5"/>
      <c r="Q87" s="5"/>
      <c r="R87" s="21"/>
      <c r="S87" s="69"/>
      <c r="T87" s="70"/>
      <c r="U87" s="71"/>
      <c r="V87" s="47"/>
      <c r="W87" s="47"/>
      <c r="Y87" s="2"/>
      <c r="Z87"/>
      <c r="AA87"/>
    </row>
    <row r="88" spans="1:27" ht="19.5" customHeight="1" thickTop="1" thickBot="1">
      <c r="G88" s="16"/>
      <c r="H88" s="29"/>
      <c r="I88" s="57"/>
      <c r="J88" s="14"/>
      <c r="K88" s="16"/>
      <c r="L88" s="77"/>
      <c r="M88" s="64"/>
      <c r="N88" s="57"/>
      <c r="O88" s="50"/>
      <c r="P88" s="5"/>
      <c r="Q88" s="5"/>
      <c r="R88" s="21"/>
      <c r="S88" s="69"/>
      <c r="T88" s="70"/>
      <c r="U88" s="71"/>
      <c r="V88" s="47"/>
      <c r="W88" s="47"/>
      <c r="Y88" s="2"/>
      <c r="Z88"/>
      <c r="AA88"/>
    </row>
    <row r="89" spans="1:27" ht="19.5" customHeight="1" thickTop="1" thickBot="1">
      <c r="G89" s="16"/>
      <c r="H89" s="29"/>
      <c r="I89" s="57"/>
      <c r="J89" s="14"/>
      <c r="K89" s="16"/>
      <c r="L89" s="77"/>
      <c r="M89" s="64"/>
      <c r="N89" s="57"/>
      <c r="O89" s="50"/>
      <c r="P89" s="5"/>
      <c r="Q89" s="5"/>
      <c r="R89" s="21"/>
      <c r="S89" s="69"/>
      <c r="T89" s="70"/>
      <c r="U89" s="71"/>
      <c r="V89" s="47"/>
      <c r="W89" s="47"/>
      <c r="Y89" s="2"/>
      <c r="Z89"/>
      <c r="AA89"/>
    </row>
    <row r="90" spans="1:27" ht="19.5" customHeight="1" thickTop="1" thickBot="1">
      <c r="G90" s="16"/>
      <c r="H90" s="29"/>
      <c r="I90" s="57"/>
      <c r="J90" s="14"/>
      <c r="K90" s="16"/>
      <c r="L90" s="77"/>
      <c r="M90" s="64"/>
      <c r="N90" s="57"/>
      <c r="O90" s="50"/>
      <c r="P90" s="5"/>
      <c r="Q90" s="5"/>
      <c r="R90" s="21"/>
      <c r="S90" s="69"/>
      <c r="T90" s="70"/>
      <c r="U90" s="71"/>
      <c r="V90" s="47"/>
      <c r="W90" s="47"/>
      <c r="Y90" s="2"/>
      <c r="Z90"/>
      <c r="AA90"/>
    </row>
    <row r="91" spans="1:27" s="13" customFormat="1" ht="20.100000000000001" customHeight="1" thickTop="1" thickBot="1">
      <c r="G91" s="16"/>
      <c r="H91" s="51"/>
      <c r="I91" s="52"/>
      <c r="J91" s="53"/>
      <c r="K91" s="60"/>
      <c r="L91" s="77"/>
      <c r="M91" s="64"/>
      <c r="N91" s="52"/>
      <c r="O91" s="51"/>
      <c r="P91" s="53"/>
      <c r="Q91" s="53"/>
      <c r="R91" s="52"/>
      <c r="S91" s="69"/>
      <c r="T91" s="70"/>
      <c r="U91" s="71"/>
      <c r="V91" s="47"/>
      <c r="W91" s="47"/>
      <c r="X91" s="15"/>
      <c r="Y91" s="15"/>
    </row>
    <row r="92" spans="1:27" s="13" customFormat="1" ht="20.100000000000001" customHeight="1" thickTop="1" thickBot="1">
      <c r="G92" s="16"/>
      <c r="H92" s="51"/>
      <c r="I92" s="52"/>
      <c r="J92" s="53"/>
      <c r="K92" s="60"/>
      <c r="L92" s="77"/>
      <c r="M92" s="64"/>
      <c r="N92" s="52"/>
      <c r="O92" s="51"/>
      <c r="P92" s="53">
        <f>SUM(N16:N91)</f>
        <v>3950</v>
      </c>
      <c r="Q92" s="53"/>
      <c r="R92" s="52"/>
      <c r="S92" s="69"/>
      <c r="T92" s="70"/>
      <c r="U92" s="71"/>
      <c r="V92" s="47"/>
      <c r="W92" s="47"/>
      <c r="X92" s="15"/>
      <c r="Y92" s="15"/>
    </row>
    <row r="93" spans="1:27" s="13" customFormat="1" ht="20.100000000000001" customHeight="1" thickTop="1" thickBot="1">
      <c r="G93" s="16"/>
      <c r="H93" s="51">
        <f t="shared" ref="H93:N93" si="0">SUM(H54:H91)</f>
        <v>4500</v>
      </c>
      <c r="I93" s="51">
        <f t="shared" si="0"/>
        <v>700</v>
      </c>
      <c r="J93" s="51">
        <f t="shared" si="0"/>
        <v>0</v>
      </c>
      <c r="K93" s="51">
        <f t="shared" si="0"/>
        <v>600</v>
      </c>
      <c r="L93" s="51">
        <f t="shared" si="0"/>
        <v>1200</v>
      </c>
      <c r="M93" s="51">
        <f t="shared" si="0"/>
        <v>800</v>
      </c>
      <c r="N93" s="51">
        <f t="shared" si="0"/>
        <v>1400</v>
      </c>
      <c r="O93" s="51">
        <f>SUM(O53:O92)</f>
        <v>0</v>
      </c>
      <c r="P93" s="53"/>
      <c r="Q93" s="53"/>
      <c r="R93" s="52"/>
      <c r="S93" s="69"/>
      <c r="T93" s="70"/>
      <c r="U93" s="71"/>
      <c r="V93" s="47"/>
      <c r="W93" s="47"/>
      <c r="X93" s="15"/>
      <c r="Y93" s="15"/>
    </row>
    <row r="94" spans="1:27" ht="19.5" customHeight="1" thickTop="1" thickBot="1">
      <c r="G94" s="16"/>
      <c r="H94" s="20"/>
      <c r="I94" s="21"/>
      <c r="J94" s="5"/>
      <c r="K94" s="61"/>
      <c r="L94" s="77"/>
      <c r="M94" s="65"/>
      <c r="N94" s="21"/>
      <c r="O94" s="50"/>
      <c r="P94" s="5"/>
      <c r="Q94" s="5"/>
      <c r="R94" s="21"/>
      <c r="S94" s="69"/>
      <c r="T94" s="70"/>
      <c r="U94" s="71"/>
      <c r="V94" s="27"/>
      <c r="W94" s="27"/>
      <c r="Y94" s="2"/>
      <c r="Z94"/>
      <c r="AA94"/>
    </row>
    <row r="95" spans="1:27" s="13" customFormat="1" ht="20.100000000000001" customHeight="1" thickTop="1" thickBot="1">
      <c r="G95" s="16"/>
      <c r="H95" s="51"/>
      <c r="I95" s="52"/>
      <c r="J95" s="53"/>
      <c r="K95" s="60"/>
      <c r="L95" s="77"/>
      <c r="M95" s="64"/>
      <c r="N95" s="52"/>
      <c r="O95" s="51"/>
      <c r="P95" s="53"/>
      <c r="Q95" s="53"/>
      <c r="R95" s="52"/>
      <c r="S95" s="69"/>
      <c r="T95" s="70"/>
      <c r="U95" s="71"/>
      <c r="V95" s="47"/>
      <c r="W95" s="47"/>
      <c r="X95" s="15"/>
      <c r="Y95" s="15"/>
    </row>
    <row r="96" spans="1:27" s="2" customFormat="1" ht="17.25" thickTop="1">
      <c r="A96"/>
      <c r="B96"/>
      <c r="C96"/>
      <c r="D96"/>
      <c r="E96"/>
      <c r="F96"/>
      <c r="Y96" s="15"/>
    </row>
    <row r="98" spans="1:25" s="2" customFormat="1">
      <c r="A98"/>
      <c r="B98"/>
      <c r="C98"/>
      <c r="D98"/>
      <c r="E98"/>
      <c r="F98"/>
      <c r="Y98" s="15"/>
    </row>
    <row r="99" spans="1:25" s="2" customFormat="1">
      <c r="A99"/>
      <c r="B99"/>
      <c r="C99"/>
      <c r="D99"/>
      <c r="E99"/>
      <c r="F99"/>
      <c r="Y99" s="15"/>
    </row>
    <row r="100" spans="1:25" s="2" customFormat="1">
      <c r="A100"/>
      <c r="B100"/>
      <c r="C100"/>
      <c r="D100"/>
      <c r="E100"/>
      <c r="F100"/>
      <c r="Y100" s="15"/>
    </row>
    <row r="101" spans="1:25" s="2" customFormat="1">
      <c r="A101"/>
      <c r="B101"/>
      <c r="C101"/>
      <c r="D101"/>
      <c r="E101"/>
      <c r="F101"/>
      <c r="Y101" s="15"/>
    </row>
    <row r="102" spans="1:25" s="2" customFormat="1">
      <c r="A102"/>
      <c r="B102"/>
      <c r="C102"/>
      <c r="D102"/>
      <c r="E102"/>
      <c r="F102"/>
      <c r="Y102" s="15"/>
    </row>
    <row r="103" spans="1:25" s="2" customFormat="1">
      <c r="A103"/>
      <c r="B103"/>
      <c r="C103"/>
      <c r="D103"/>
      <c r="E103"/>
      <c r="F103"/>
      <c r="Y103" s="15"/>
    </row>
    <row r="104" spans="1:25" s="2" customFormat="1">
      <c r="A104"/>
      <c r="B104"/>
      <c r="C104"/>
      <c r="D104"/>
      <c r="E104"/>
      <c r="F104"/>
      <c r="Y104" s="15"/>
    </row>
    <row r="105" spans="1:25" s="2" customFormat="1">
      <c r="A105"/>
      <c r="B105"/>
      <c r="C105"/>
      <c r="D105"/>
      <c r="E105"/>
      <c r="F105"/>
      <c r="Y105" s="15"/>
    </row>
    <row r="106" spans="1:25" s="2" customFormat="1">
      <c r="A106"/>
      <c r="B106"/>
      <c r="C106"/>
      <c r="D106"/>
      <c r="E106"/>
      <c r="F106"/>
      <c r="Y106" s="15"/>
    </row>
    <row r="107" spans="1:25" s="2" customFormat="1">
      <c r="A107"/>
      <c r="B107"/>
      <c r="C107"/>
      <c r="D107"/>
      <c r="E107"/>
      <c r="F107"/>
      <c r="Y107" s="15"/>
    </row>
    <row r="108" spans="1:25" s="2" customFormat="1">
      <c r="A108"/>
      <c r="B108"/>
      <c r="C108"/>
      <c r="D108"/>
      <c r="E108"/>
      <c r="F108"/>
      <c r="G108" s="15" t="s">
        <v>125</v>
      </c>
      <c r="J108" s="2">
        <f>X108/1.1</f>
        <v>58799.999999999993</v>
      </c>
      <c r="K108" s="40"/>
      <c r="L108" s="15"/>
      <c r="X108" s="15">
        <v>64680</v>
      </c>
      <c r="Y108" s="15"/>
    </row>
    <row r="109" spans="1:25">
      <c r="G109" s="15" t="s">
        <v>49</v>
      </c>
      <c r="H109" s="2"/>
      <c r="I109" s="2"/>
      <c r="K109" s="40"/>
      <c r="Q109" s="15" t="s">
        <v>174</v>
      </c>
    </row>
    <row r="111" spans="1:25">
      <c r="H111" s="2"/>
      <c r="I111" s="2"/>
    </row>
    <row r="112" spans="1:25">
      <c r="G112" s="15" t="s">
        <v>134</v>
      </c>
      <c r="H112" s="2"/>
      <c r="I112" s="2"/>
    </row>
    <row r="113" spans="7:10">
      <c r="G113" s="15" t="s">
        <v>135</v>
      </c>
      <c r="H113" s="2"/>
      <c r="I113" s="2"/>
    </row>
    <row r="114" spans="7:10">
      <c r="H114" s="2"/>
      <c r="I114" s="2"/>
      <c r="J114" s="40"/>
    </row>
    <row r="115" spans="7:10">
      <c r="G115" s="15" t="s">
        <v>69</v>
      </c>
      <c r="H115" s="2"/>
      <c r="I115" s="2"/>
    </row>
    <row r="116" spans="7:10">
      <c r="H116" s="2"/>
      <c r="I116" s="2"/>
      <c r="J116" s="41"/>
    </row>
    <row r="117" spans="7:10">
      <c r="H117" s="2"/>
      <c r="I117" s="2"/>
    </row>
    <row r="118" spans="7:10">
      <c r="G118" s="15" t="s">
        <v>133</v>
      </c>
      <c r="H118" s="2"/>
      <c r="I118" s="2"/>
    </row>
    <row r="119" spans="7:10">
      <c r="G119" s="15" t="s">
        <v>131</v>
      </c>
      <c r="H119" s="2"/>
      <c r="I119" s="2"/>
    </row>
    <row r="120" spans="7:10">
      <c r="G120" s="15" t="s">
        <v>132</v>
      </c>
      <c r="H120" s="2"/>
      <c r="I120" s="2"/>
    </row>
    <row r="121" spans="7:10">
      <c r="H121" s="2"/>
      <c r="I121" s="2"/>
      <c r="J121" s="4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5A99-D68C-40B0-BD06-5F8BB094A7F8}">
  <dimension ref="A2:U50"/>
  <sheetViews>
    <sheetView topLeftCell="D1" zoomScale="85" zoomScaleNormal="85" workbookViewId="0">
      <selection activeCell="D6" sqref="D6:K6"/>
    </sheetView>
  </sheetViews>
  <sheetFormatPr defaultRowHeight="16.5"/>
  <cols>
    <col min="2" max="2" width="6" customWidth="1"/>
    <col min="3" max="3" width="4.5" customWidth="1"/>
    <col min="4" max="4" width="15.125" style="15" bestFit="1" customWidth="1"/>
    <col min="5" max="5" width="15.125" style="15" customWidth="1"/>
    <col min="6" max="6" width="14" style="2" bestFit="1" customWidth="1"/>
    <col min="7" max="7" width="10.875" style="2" bestFit="1" customWidth="1"/>
    <col min="8" max="10" width="9" style="2"/>
    <col min="11" max="11" width="10.375" style="2" customWidth="1"/>
    <col min="12" max="12" width="9.875" style="2" customWidth="1"/>
    <col min="13" max="21" width="9" style="2"/>
  </cols>
  <sheetData>
    <row r="2" spans="1:21" ht="17.25" thickBot="1"/>
    <row r="3" spans="1:21" s="13" customFormat="1" ht="23.25" customHeight="1">
      <c r="A3" s="13" t="s">
        <v>46</v>
      </c>
      <c r="D3" s="16"/>
      <c r="E3" s="47" t="s">
        <v>159</v>
      </c>
      <c r="F3" s="17" t="s">
        <v>75</v>
      </c>
      <c r="G3" s="19" t="s">
        <v>114</v>
      </c>
      <c r="H3" s="18" t="s">
        <v>72</v>
      </c>
      <c r="I3" s="18" t="s">
        <v>74</v>
      </c>
      <c r="J3" s="27" t="s">
        <v>11</v>
      </c>
      <c r="K3" s="17" t="s">
        <v>156</v>
      </c>
      <c r="L3" s="19" t="s">
        <v>121</v>
      </c>
      <c r="M3" s="17" t="s">
        <v>54</v>
      </c>
      <c r="N3" s="18" t="s">
        <v>116</v>
      </c>
      <c r="O3" s="18">
        <v>247</v>
      </c>
      <c r="P3" s="19" t="s">
        <v>53</v>
      </c>
      <c r="Q3" s="15"/>
      <c r="R3" s="15"/>
      <c r="S3" s="15"/>
      <c r="T3" s="15"/>
      <c r="U3" s="15"/>
    </row>
    <row r="4" spans="1:21">
      <c r="B4" t="s">
        <v>51</v>
      </c>
      <c r="D4" s="16" t="s">
        <v>27</v>
      </c>
      <c r="E4" s="27"/>
      <c r="F4" s="20">
        <v>300</v>
      </c>
      <c r="G4" s="21"/>
      <c r="H4" s="5"/>
      <c r="I4" s="5"/>
      <c r="J4" s="28">
        <v>100</v>
      </c>
      <c r="K4" s="20">
        <v>100</v>
      </c>
      <c r="L4" s="21"/>
      <c r="M4" s="20" t="s">
        <v>137</v>
      </c>
      <c r="N4" s="5"/>
      <c r="O4" s="5"/>
      <c r="P4" s="21"/>
    </row>
    <row r="5" spans="1:21">
      <c r="B5" t="s">
        <v>51</v>
      </c>
      <c r="D5" s="31" t="s">
        <v>28</v>
      </c>
      <c r="E5" s="48"/>
      <c r="F5" s="32"/>
      <c r="G5" s="34">
        <v>200</v>
      </c>
      <c r="H5" s="33"/>
      <c r="I5" s="33"/>
      <c r="J5" s="35">
        <v>100</v>
      </c>
      <c r="K5" s="32">
        <v>100</v>
      </c>
      <c r="L5" s="34"/>
      <c r="M5" s="36"/>
      <c r="N5" s="33"/>
      <c r="O5" s="33"/>
      <c r="P5" s="34"/>
    </row>
    <row r="6" spans="1:21">
      <c r="B6" t="s">
        <v>51</v>
      </c>
      <c r="D6" s="16" t="s">
        <v>29</v>
      </c>
      <c r="E6" s="27"/>
      <c r="F6" s="20"/>
      <c r="G6" s="21"/>
      <c r="H6" s="5"/>
      <c r="I6" s="5">
        <v>300</v>
      </c>
      <c r="J6" s="28">
        <v>100</v>
      </c>
      <c r="K6" s="20">
        <v>100</v>
      </c>
      <c r="L6" s="21"/>
      <c r="M6" s="29"/>
      <c r="N6" s="5"/>
      <c r="O6" s="5"/>
      <c r="P6" s="21"/>
    </row>
    <row r="7" spans="1:21" s="37" customFormat="1">
      <c r="B7" s="37" t="s">
        <v>51</v>
      </c>
      <c r="D7" s="31" t="s">
        <v>30</v>
      </c>
      <c r="E7" s="48"/>
      <c r="F7" s="32">
        <v>300</v>
      </c>
      <c r="G7" s="34"/>
      <c r="H7" s="33"/>
      <c r="I7" s="33"/>
      <c r="J7" s="35">
        <v>100</v>
      </c>
      <c r="K7" s="32"/>
      <c r="L7" s="34">
        <v>100</v>
      </c>
      <c r="M7" s="36"/>
      <c r="N7" s="33"/>
      <c r="O7" s="33"/>
      <c r="P7" s="34"/>
      <c r="Q7" s="38"/>
      <c r="R7" s="38"/>
      <c r="S7" s="38"/>
      <c r="T7" s="38"/>
      <c r="U7" s="38"/>
    </row>
    <row r="8" spans="1:21">
      <c r="B8" t="s">
        <v>51</v>
      </c>
      <c r="C8" s="37" t="s">
        <v>128</v>
      </c>
      <c r="D8" s="16" t="s">
        <v>31</v>
      </c>
      <c r="E8" s="27"/>
      <c r="F8" s="20">
        <v>300</v>
      </c>
      <c r="G8" s="21"/>
      <c r="H8" s="5"/>
      <c r="I8" s="5"/>
      <c r="J8" s="28">
        <v>100</v>
      </c>
      <c r="K8" s="20"/>
      <c r="L8" s="21">
        <v>100</v>
      </c>
      <c r="M8" s="29"/>
      <c r="N8" s="5"/>
      <c r="O8" s="5"/>
      <c r="P8" s="21"/>
    </row>
    <row r="9" spans="1:21">
      <c r="C9" s="37" t="s">
        <v>128</v>
      </c>
      <c r="D9" s="16" t="s">
        <v>173</v>
      </c>
      <c r="E9" s="27"/>
      <c r="F9" s="20">
        <v>100</v>
      </c>
      <c r="G9" s="21"/>
      <c r="H9" s="5"/>
      <c r="I9" s="5"/>
      <c r="J9" s="28">
        <v>100</v>
      </c>
      <c r="K9" s="20">
        <v>100</v>
      </c>
      <c r="L9" s="21"/>
      <c r="M9" s="29"/>
      <c r="N9" s="5"/>
      <c r="O9" s="5"/>
      <c r="P9" s="21"/>
    </row>
    <row r="10" spans="1:21">
      <c r="D10" s="16"/>
      <c r="E10" s="27"/>
      <c r="F10" s="20"/>
      <c r="G10" s="21"/>
      <c r="H10" s="5"/>
      <c r="I10" s="5"/>
      <c r="J10" s="28"/>
      <c r="K10" s="20"/>
      <c r="L10" s="21"/>
      <c r="M10" s="29"/>
      <c r="N10" s="5"/>
      <c r="O10" s="5"/>
      <c r="P10" s="21"/>
    </row>
    <row r="11" spans="1:21">
      <c r="A11" s="13" t="s">
        <v>32</v>
      </c>
      <c r="B11" s="13" t="s">
        <v>51</v>
      </c>
      <c r="C11" s="13"/>
      <c r="D11" s="16" t="s">
        <v>33</v>
      </c>
      <c r="E11" s="27" t="s">
        <v>51</v>
      </c>
      <c r="F11" s="20">
        <v>200</v>
      </c>
      <c r="G11" s="21"/>
      <c r="H11" s="5">
        <v>200</v>
      </c>
      <c r="I11" s="5"/>
      <c r="J11" s="28">
        <v>100</v>
      </c>
      <c r="K11" s="20">
        <v>100</v>
      </c>
      <c r="L11" s="21"/>
      <c r="M11" s="29"/>
      <c r="N11" s="5"/>
      <c r="O11" s="5"/>
      <c r="P11" s="21"/>
    </row>
    <row r="12" spans="1:21" s="37" customFormat="1">
      <c r="B12" s="37" t="s">
        <v>51</v>
      </c>
      <c r="D12" s="31"/>
      <c r="E12" s="48"/>
      <c r="F12" s="32"/>
      <c r="G12" s="34"/>
      <c r="H12" s="33"/>
      <c r="I12" s="33"/>
      <c r="J12" s="35"/>
      <c r="K12" s="32"/>
      <c r="L12" s="34"/>
      <c r="M12" s="36"/>
      <c r="N12" s="33"/>
      <c r="O12" s="33"/>
      <c r="P12" s="34"/>
      <c r="Q12" s="38"/>
      <c r="R12" s="38"/>
      <c r="S12" s="38"/>
      <c r="T12" s="38"/>
      <c r="U12" s="38"/>
    </row>
    <row r="13" spans="1:21">
      <c r="B13" t="s">
        <v>51</v>
      </c>
      <c r="D13" s="16" t="s">
        <v>70</v>
      </c>
      <c r="E13" s="27"/>
      <c r="F13" s="20">
        <v>350</v>
      </c>
      <c r="G13" s="21"/>
      <c r="H13" s="5"/>
      <c r="I13" s="5"/>
      <c r="J13" s="28"/>
      <c r="K13" s="20">
        <v>100</v>
      </c>
      <c r="L13" s="21">
        <v>50</v>
      </c>
      <c r="M13" s="29"/>
      <c r="N13" s="5"/>
      <c r="O13" s="5"/>
      <c r="P13" s="21"/>
    </row>
    <row r="14" spans="1:21">
      <c r="D14" s="14" t="s">
        <v>126</v>
      </c>
      <c r="G14" s="23"/>
      <c r="K14" s="22"/>
      <c r="L14" s="23"/>
      <c r="M14" s="30"/>
      <c r="N14" s="15"/>
      <c r="P14" s="23"/>
    </row>
    <row r="15" spans="1:21">
      <c r="D15" s="16"/>
      <c r="G15" s="23"/>
      <c r="K15" s="22"/>
      <c r="L15" s="23"/>
      <c r="M15" s="30"/>
      <c r="N15" s="15"/>
      <c r="P15" s="23"/>
    </row>
    <row r="16" spans="1:21">
      <c r="B16" t="s">
        <v>51</v>
      </c>
      <c r="D16" s="16" t="s">
        <v>138</v>
      </c>
      <c r="E16" s="27"/>
      <c r="F16" s="20">
        <v>100</v>
      </c>
      <c r="G16" s="21"/>
      <c r="H16" s="5"/>
      <c r="I16" s="5"/>
      <c r="J16" s="28"/>
      <c r="K16" s="20"/>
      <c r="L16" s="21">
        <v>100</v>
      </c>
      <c r="M16" s="29" t="s">
        <v>62</v>
      </c>
      <c r="N16" s="5"/>
      <c r="O16" s="5"/>
      <c r="P16" s="21"/>
    </row>
    <row r="17" spans="1:21" s="37" customFormat="1">
      <c r="B17" s="37" t="s">
        <v>51</v>
      </c>
      <c r="D17" s="31" t="s">
        <v>36</v>
      </c>
      <c r="E17" s="48"/>
      <c r="F17" s="32">
        <v>200</v>
      </c>
      <c r="G17" s="34">
        <v>200</v>
      </c>
      <c r="H17" s="33"/>
      <c r="I17" s="33"/>
      <c r="J17" s="35"/>
      <c r="K17" s="32"/>
      <c r="L17" s="34">
        <v>200</v>
      </c>
      <c r="M17" s="36"/>
      <c r="N17" s="33"/>
      <c r="O17" s="33"/>
      <c r="P17" s="34"/>
      <c r="Q17" s="38"/>
      <c r="R17" s="38"/>
      <c r="S17" s="38"/>
      <c r="T17" s="38"/>
      <c r="U17" s="38"/>
    </row>
    <row r="18" spans="1:21">
      <c r="B18" t="s">
        <v>51</v>
      </c>
      <c r="D18" s="16" t="s">
        <v>21</v>
      </c>
      <c r="E18" s="27"/>
      <c r="F18" s="20">
        <v>500</v>
      </c>
      <c r="G18" s="21">
        <v>400</v>
      </c>
      <c r="H18" s="5"/>
      <c r="I18" s="5">
        <v>300</v>
      </c>
      <c r="J18" s="28">
        <v>200</v>
      </c>
      <c r="K18" s="20"/>
      <c r="L18" s="21">
        <v>300</v>
      </c>
      <c r="M18" s="44" t="s">
        <v>62</v>
      </c>
      <c r="N18" s="5"/>
      <c r="O18" s="5"/>
      <c r="P18" s="21"/>
    </row>
    <row r="19" spans="1:21">
      <c r="D19" s="16" t="s">
        <v>37</v>
      </c>
      <c r="E19" s="27"/>
      <c r="F19" s="20">
        <v>250</v>
      </c>
      <c r="G19" s="21">
        <v>100</v>
      </c>
      <c r="H19" s="5"/>
      <c r="I19" s="5"/>
      <c r="J19" s="28"/>
      <c r="K19" s="20"/>
      <c r="L19" s="21">
        <v>100</v>
      </c>
      <c r="M19" s="50"/>
      <c r="N19" s="5"/>
      <c r="O19" s="5"/>
      <c r="P19" s="21"/>
    </row>
    <row r="20" spans="1:21">
      <c r="D20" s="16"/>
      <c r="E20" s="27"/>
      <c r="F20" s="20"/>
      <c r="G20" s="21"/>
      <c r="H20" s="5"/>
      <c r="I20" s="5"/>
      <c r="J20" s="28"/>
      <c r="K20" s="20"/>
      <c r="L20" s="21"/>
      <c r="M20" s="20"/>
      <c r="N20" s="5"/>
      <c r="O20" s="5"/>
      <c r="P20" s="21"/>
    </row>
    <row r="21" spans="1:21">
      <c r="D21" s="16"/>
      <c r="E21" s="27"/>
      <c r="F21" s="20"/>
      <c r="G21" s="21"/>
      <c r="H21" s="5"/>
      <c r="I21" s="5"/>
      <c r="J21" s="28"/>
      <c r="K21" s="20"/>
      <c r="L21" s="21"/>
      <c r="M21" s="20"/>
      <c r="N21" s="5"/>
      <c r="O21" s="5"/>
      <c r="P21" s="21"/>
    </row>
    <row r="22" spans="1:21">
      <c r="D22" s="16"/>
      <c r="E22" s="27"/>
      <c r="F22" s="20"/>
      <c r="G22" s="21"/>
      <c r="H22" s="5"/>
      <c r="I22" s="5"/>
      <c r="J22" s="28"/>
      <c r="K22" s="20"/>
      <c r="L22" s="21"/>
      <c r="M22" s="20"/>
      <c r="N22" s="5"/>
      <c r="O22" s="5"/>
      <c r="P22" s="21"/>
    </row>
    <row r="23" spans="1:21" s="37" customFormat="1">
      <c r="B23" s="37" t="s">
        <v>51</v>
      </c>
      <c r="D23" s="31" t="s">
        <v>47</v>
      </c>
      <c r="E23" s="48"/>
      <c r="F23" s="32">
        <v>300</v>
      </c>
      <c r="G23" s="34"/>
      <c r="H23" s="33"/>
      <c r="I23" s="33"/>
      <c r="J23" s="35">
        <v>100</v>
      </c>
      <c r="K23" s="32">
        <v>100</v>
      </c>
      <c r="L23" s="34">
        <v>100</v>
      </c>
      <c r="M23" s="32"/>
      <c r="N23" s="33"/>
      <c r="O23" s="33"/>
      <c r="P23" s="34"/>
      <c r="Q23" s="38"/>
      <c r="R23" s="38"/>
      <c r="S23" s="38"/>
      <c r="T23" s="38"/>
      <c r="U23" s="38"/>
    </row>
    <row r="24" spans="1:21">
      <c r="D24" s="16" t="s">
        <v>41</v>
      </c>
      <c r="E24" s="27"/>
      <c r="F24" s="20">
        <v>250</v>
      </c>
      <c r="G24" s="21"/>
      <c r="H24" s="5"/>
      <c r="I24" s="5"/>
      <c r="J24" s="28"/>
      <c r="K24" s="20"/>
      <c r="L24" s="21">
        <v>50</v>
      </c>
      <c r="M24" s="20"/>
      <c r="N24" s="5"/>
      <c r="O24" s="5"/>
      <c r="P24" s="21"/>
      <c r="Q24" s="45"/>
    </row>
    <row r="25" spans="1:21" s="37" customFormat="1">
      <c r="B25" s="37" t="s">
        <v>51</v>
      </c>
      <c r="D25" s="31" t="s">
        <v>35</v>
      </c>
      <c r="E25" s="48"/>
      <c r="F25" s="32">
        <v>200</v>
      </c>
      <c r="G25" s="34"/>
      <c r="H25" s="33"/>
      <c r="I25" s="33"/>
      <c r="J25" s="35"/>
      <c r="K25" s="32"/>
      <c r="L25" s="34">
        <v>100</v>
      </c>
      <c r="M25" s="32"/>
      <c r="N25" s="33"/>
      <c r="O25" s="33"/>
      <c r="P25" s="34"/>
      <c r="Q25" s="38"/>
      <c r="R25" s="38"/>
      <c r="S25" s="38"/>
      <c r="T25" s="38"/>
      <c r="U25" s="38"/>
    </row>
    <row r="26" spans="1:21">
      <c r="B26" t="s">
        <v>51</v>
      </c>
      <c r="D26" s="16" t="s">
        <v>73</v>
      </c>
      <c r="E26" s="27"/>
      <c r="F26" s="20">
        <v>100</v>
      </c>
      <c r="G26" s="21"/>
      <c r="H26" s="5"/>
      <c r="I26" s="5"/>
      <c r="J26" s="28"/>
      <c r="K26" s="20">
        <v>50</v>
      </c>
      <c r="L26" s="21"/>
      <c r="M26" s="20"/>
      <c r="N26" s="5"/>
      <c r="O26" s="5"/>
      <c r="P26" s="21"/>
    </row>
    <row r="27" spans="1:21">
      <c r="D27" s="16" t="s">
        <v>153</v>
      </c>
      <c r="E27" s="27"/>
      <c r="F27" s="20">
        <v>200</v>
      </c>
      <c r="G27" s="21"/>
      <c r="H27" s="5"/>
      <c r="I27" s="5"/>
      <c r="J27" s="28">
        <v>100</v>
      </c>
      <c r="K27" s="20"/>
      <c r="L27" s="21">
        <v>100</v>
      </c>
      <c r="M27" s="20"/>
      <c r="N27" s="5"/>
      <c r="O27" s="5"/>
      <c r="P27" s="21"/>
    </row>
    <row r="29" spans="1:21">
      <c r="D29" s="16" t="s">
        <v>119</v>
      </c>
      <c r="E29" s="27"/>
      <c r="F29" s="20"/>
      <c r="G29" s="21"/>
      <c r="H29" s="5"/>
      <c r="I29" s="5"/>
      <c r="J29" s="28"/>
      <c r="K29" s="20"/>
      <c r="L29" s="21"/>
      <c r="M29" s="20"/>
      <c r="N29" s="5"/>
      <c r="O29" s="5"/>
      <c r="P29" s="21"/>
    </row>
    <row r="30" spans="1:21">
      <c r="D30" s="16" t="s">
        <v>120</v>
      </c>
      <c r="E30" s="27"/>
      <c r="F30" s="20"/>
      <c r="G30" s="21"/>
      <c r="H30" s="5"/>
      <c r="I30" s="5"/>
      <c r="J30" s="28"/>
      <c r="K30" s="20"/>
      <c r="L30" s="21"/>
      <c r="M30" s="20"/>
      <c r="N30" s="5"/>
      <c r="O30" s="5"/>
      <c r="P30" s="21"/>
    </row>
    <row r="31" spans="1:21">
      <c r="D31" s="16" t="s">
        <v>124</v>
      </c>
      <c r="E31" s="27"/>
      <c r="F31" s="20"/>
      <c r="G31" s="21"/>
      <c r="H31" s="5"/>
      <c r="I31" s="5"/>
      <c r="J31" s="28"/>
      <c r="K31" s="20"/>
      <c r="L31" s="21"/>
      <c r="M31" s="20"/>
      <c r="N31" s="5"/>
      <c r="O31" s="5"/>
      <c r="P31" s="21"/>
    </row>
    <row r="32" spans="1:21" s="2" customFormat="1">
      <c r="A32"/>
      <c r="B32"/>
      <c r="C32"/>
      <c r="D32" s="16"/>
      <c r="E32" s="27"/>
      <c r="F32" s="20"/>
      <c r="G32" s="21"/>
      <c r="H32" s="5"/>
      <c r="I32" s="5"/>
      <c r="J32" s="28"/>
      <c r="K32" s="20"/>
      <c r="L32" s="21"/>
      <c r="M32" s="20"/>
      <c r="N32" s="5"/>
      <c r="O32" s="5"/>
      <c r="P32" s="21"/>
    </row>
    <row r="33" spans="1:16" s="2" customFormat="1" ht="17.25" thickBot="1">
      <c r="A33"/>
      <c r="B33"/>
      <c r="C33"/>
      <c r="D33" s="16"/>
      <c r="E33" s="27"/>
      <c r="F33" s="20"/>
      <c r="G33" s="21"/>
      <c r="H33" s="5"/>
      <c r="I33" s="5"/>
      <c r="J33" s="28"/>
      <c r="K33" s="20"/>
      <c r="L33" s="26"/>
      <c r="M33" s="24"/>
      <c r="N33" s="25"/>
      <c r="O33" s="25"/>
      <c r="P33" s="26"/>
    </row>
    <row r="34" spans="1:16" s="2" customFormat="1" ht="17.25" thickBot="1">
      <c r="A34"/>
      <c r="B34"/>
      <c r="C34"/>
      <c r="D34" s="16"/>
      <c r="E34" s="49"/>
      <c r="F34" s="24"/>
      <c r="G34" s="26"/>
      <c r="H34" s="25"/>
      <c r="I34" s="25"/>
      <c r="J34" s="28"/>
      <c r="K34" s="24"/>
      <c r="L34" s="2">
        <f>SUM(L4:L33)</f>
        <v>1300</v>
      </c>
    </row>
    <row r="35" spans="1:16" s="2" customFormat="1">
      <c r="A35"/>
      <c r="B35"/>
      <c r="C35"/>
      <c r="D35" s="15"/>
      <c r="E35" s="15"/>
      <c r="F35" s="2">
        <f t="shared" ref="F35:K35" si="0">SUM(F4:F34)</f>
        <v>3650</v>
      </c>
      <c r="G35" s="2">
        <f t="shared" si="0"/>
        <v>900</v>
      </c>
      <c r="H35" s="2">
        <f t="shared" si="0"/>
        <v>200</v>
      </c>
      <c r="I35" s="2">
        <f t="shared" si="0"/>
        <v>600</v>
      </c>
      <c r="J35" s="2">
        <f t="shared" si="0"/>
        <v>1100</v>
      </c>
      <c r="K35" s="2">
        <f t="shared" si="0"/>
        <v>750</v>
      </c>
    </row>
    <row r="36" spans="1:16" s="2" customFormat="1">
      <c r="A36"/>
      <c r="B36"/>
      <c r="C36"/>
      <c r="D36" s="15"/>
      <c r="E36" s="15"/>
    </row>
    <row r="37" spans="1:16" s="2" customFormat="1">
      <c r="A37"/>
      <c r="B37"/>
      <c r="C37"/>
      <c r="D37" s="15" t="s">
        <v>125</v>
      </c>
      <c r="E37" s="15">
        <v>64680</v>
      </c>
      <c r="F37" s="2">
        <f>E37/1.1</f>
        <v>58799.999999999993</v>
      </c>
      <c r="G37" s="40"/>
    </row>
    <row r="38" spans="1:16" s="2" customFormat="1">
      <c r="A38"/>
      <c r="B38"/>
      <c r="C38"/>
      <c r="D38" s="15" t="s">
        <v>49</v>
      </c>
      <c r="E38" s="15"/>
      <c r="G38" s="40"/>
      <c r="M38" s="15" t="s">
        <v>174</v>
      </c>
    </row>
    <row r="40" spans="1:16" s="2" customFormat="1">
      <c r="A40"/>
      <c r="B40"/>
      <c r="C40"/>
      <c r="D40" s="15"/>
      <c r="E40" s="15"/>
    </row>
    <row r="41" spans="1:16" s="2" customFormat="1">
      <c r="A41"/>
      <c r="B41"/>
      <c r="C41"/>
      <c r="D41" s="15" t="s">
        <v>134</v>
      </c>
      <c r="E41" s="15"/>
    </row>
    <row r="42" spans="1:16" s="2" customFormat="1">
      <c r="A42"/>
      <c r="B42"/>
      <c r="C42"/>
      <c r="D42" s="15" t="s">
        <v>135</v>
      </c>
      <c r="E42" s="15"/>
    </row>
    <row r="43" spans="1:16" s="2" customFormat="1">
      <c r="A43"/>
      <c r="B43"/>
      <c r="C43"/>
      <c r="D43" s="15"/>
      <c r="E43" s="15"/>
      <c r="F43" s="40"/>
    </row>
    <row r="44" spans="1:16" s="2" customFormat="1">
      <c r="A44"/>
      <c r="B44"/>
      <c r="C44"/>
      <c r="D44" s="15" t="s">
        <v>69</v>
      </c>
      <c r="E44" s="15"/>
    </row>
    <row r="45" spans="1:16" s="2" customFormat="1">
      <c r="A45"/>
      <c r="B45"/>
      <c r="C45"/>
      <c r="D45" s="15"/>
      <c r="E45" s="15"/>
      <c r="F45" s="41"/>
    </row>
    <row r="46" spans="1:16" s="2" customFormat="1">
      <c r="A46"/>
      <c r="B46"/>
      <c r="C46"/>
      <c r="D46" s="15"/>
      <c r="E46" s="15"/>
    </row>
    <row r="47" spans="1:16" s="2" customFormat="1">
      <c r="A47"/>
      <c r="B47"/>
      <c r="C47"/>
      <c r="D47" s="15" t="s">
        <v>133</v>
      </c>
      <c r="E47" s="15"/>
    </row>
    <row r="48" spans="1:16" s="2" customFormat="1">
      <c r="A48"/>
      <c r="B48"/>
      <c r="C48"/>
      <c r="D48" s="15" t="s">
        <v>131</v>
      </c>
      <c r="E48" s="15"/>
    </row>
    <row r="49" spans="1:6" s="2" customFormat="1">
      <c r="A49"/>
      <c r="B49"/>
      <c r="C49"/>
      <c r="D49" s="15" t="s">
        <v>132</v>
      </c>
      <c r="E49" s="15"/>
    </row>
    <row r="50" spans="1:6" s="2" customFormat="1">
      <c r="A50"/>
      <c r="B50"/>
      <c r="C50"/>
      <c r="D50" s="15"/>
      <c r="E50" s="15"/>
      <c r="F50" s="4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FBAA-0083-4A11-B635-26B76F86B7D2}">
  <dimension ref="A1:K24"/>
  <sheetViews>
    <sheetView topLeftCell="D1" workbookViewId="0">
      <selection activeCell="F9" sqref="F9:K9"/>
    </sheetView>
  </sheetViews>
  <sheetFormatPr defaultRowHeight="16.5"/>
  <cols>
    <col min="1" max="1" width="9.875" bestFit="1" customWidth="1"/>
    <col min="2" max="2" width="9.375" customWidth="1"/>
    <col min="3" max="3" width="19.875" style="2" customWidth="1"/>
    <col min="4" max="4" width="22.625" customWidth="1"/>
    <col min="5" max="5" width="31.125" customWidth="1"/>
    <col min="6" max="6" width="8.625" style="2" bestFit="1" customWidth="1"/>
    <col min="7" max="7" width="5.25" bestFit="1" customWidth="1"/>
    <col min="8" max="9" width="7.125" bestFit="1" customWidth="1"/>
  </cols>
  <sheetData>
    <row r="1" spans="1:11">
      <c r="A1" s="138"/>
      <c r="B1" s="138"/>
      <c r="C1" s="138"/>
    </row>
    <row r="2" spans="1:11">
      <c r="A2" s="139"/>
      <c r="B2" s="140"/>
      <c r="C2" s="137"/>
      <c r="D2" s="141"/>
    </row>
    <row r="3" spans="1:11" s="2" customFormat="1" ht="27">
      <c r="A3" s="144" t="s">
        <v>266</v>
      </c>
      <c r="B3" s="144" t="s">
        <v>267</v>
      </c>
      <c r="C3" s="144" t="s">
        <v>268</v>
      </c>
      <c r="D3" s="144" t="s">
        <v>269</v>
      </c>
      <c r="E3" s="144" t="s">
        <v>272</v>
      </c>
      <c r="F3" s="144" t="s">
        <v>273</v>
      </c>
      <c r="G3" s="2" t="s">
        <v>104</v>
      </c>
      <c r="H3" s="2" t="s">
        <v>149</v>
      </c>
      <c r="I3" s="2" t="s">
        <v>150</v>
      </c>
      <c r="J3" s="2" t="s">
        <v>26</v>
      </c>
      <c r="K3" s="2" t="s">
        <v>297</v>
      </c>
    </row>
    <row r="4" spans="1:11" ht="33">
      <c r="A4" s="143" t="s">
        <v>270</v>
      </c>
      <c r="B4" s="142" t="s">
        <v>180</v>
      </c>
      <c r="C4" s="144">
        <v>1022013892</v>
      </c>
      <c r="D4" s="146" t="s">
        <v>296</v>
      </c>
      <c r="E4" s="143" t="s">
        <v>274</v>
      </c>
      <c r="F4" s="145">
        <v>10</v>
      </c>
      <c r="G4">
        <v>16</v>
      </c>
      <c r="H4">
        <v>10</v>
      </c>
    </row>
    <row r="5" spans="1:11" ht="27">
      <c r="A5" s="143" t="s">
        <v>270</v>
      </c>
      <c r="B5" s="142" t="s">
        <v>202</v>
      </c>
      <c r="C5" s="173">
        <v>1258228694</v>
      </c>
      <c r="D5" s="174" t="s">
        <v>262</v>
      </c>
      <c r="E5" s="175" t="s">
        <v>275</v>
      </c>
      <c r="F5" s="176">
        <v>5</v>
      </c>
      <c r="G5" s="177">
        <v>5</v>
      </c>
      <c r="H5" s="177">
        <v>5</v>
      </c>
    </row>
    <row r="6" spans="1:11" ht="27">
      <c r="A6" s="143" t="s">
        <v>270</v>
      </c>
      <c r="B6" s="142" t="s">
        <v>204</v>
      </c>
      <c r="C6" s="144">
        <v>1499577742</v>
      </c>
      <c r="D6" s="140" t="s">
        <v>263</v>
      </c>
      <c r="E6" s="143" t="s">
        <v>276</v>
      </c>
      <c r="F6" s="145">
        <v>5</v>
      </c>
      <c r="G6">
        <v>5</v>
      </c>
      <c r="H6">
        <v>5</v>
      </c>
    </row>
    <row r="7" spans="1:11" ht="27">
      <c r="A7" s="143" t="s">
        <v>270</v>
      </c>
      <c r="B7" s="142" t="s">
        <v>206</v>
      </c>
      <c r="C7" s="144">
        <v>1881917537</v>
      </c>
      <c r="D7" s="140" t="s">
        <v>264</v>
      </c>
      <c r="E7" s="143" t="s">
        <v>277</v>
      </c>
      <c r="F7" s="145">
        <v>5</v>
      </c>
      <c r="G7">
        <v>5</v>
      </c>
      <c r="H7">
        <v>5</v>
      </c>
    </row>
    <row r="8" spans="1:11" ht="27">
      <c r="A8" s="143" t="s">
        <v>270</v>
      </c>
      <c r="B8" s="142" t="s">
        <v>208</v>
      </c>
      <c r="C8" s="173">
        <v>1287821286</v>
      </c>
      <c r="D8" s="174" t="s">
        <v>265</v>
      </c>
      <c r="E8" s="175" t="s">
        <v>278</v>
      </c>
      <c r="F8" s="176">
        <v>10</v>
      </c>
      <c r="G8" s="177">
        <v>10</v>
      </c>
      <c r="H8" s="177">
        <v>10</v>
      </c>
      <c r="I8" s="177">
        <v>10</v>
      </c>
    </row>
    <row r="9" spans="1:11" ht="38.25">
      <c r="A9" s="143" t="s">
        <v>270</v>
      </c>
      <c r="B9" s="142" t="s">
        <v>210</v>
      </c>
      <c r="C9" s="144">
        <v>1755866179</v>
      </c>
      <c r="D9" s="140" t="s">
        <v>295</v>
      </c>
      <c r="E9" s="143" t="s">
        <v>279</v>
      </c>
      <c r="F9" s="145">
        <v>7</v>
      </c>
      <c r="G9">
        <v>7</v>
      </c>
      <c r="H9">
        <v>7</v>
      </c>
    </row>
    <row r="10" spans="1:11">
      <c r="A10" s="143"/>
      <c r="B10" s="142"/>
      <c r="C10" s="144"/>
      <c r="D10" s="140"/>
      <c r="E10" s="143"/>
      <c r="F10" s="145"/>
    </row>
    <row r="11" spans="1:11" ht="27">
      <c r="A11" s="143" t="s">
        <v>201</v>
      </c>
      <c r="B11" s="142" t="s">
        <v>229</v>
      </c>
      <c r="C11" s="144">
        <v>1994080073</v>
      </c>
      <c r="D11" s="140" t="s">
        <v>254</v>
      </c>
      <c r="E11" s="143" t="s">
        <v>280</v>
      </c>
      <c r="F11" s="145">
        <v>7</v>
      </c>
      <c r="G11">
        <v>7</v>
      </c>
    </row>
    <row r="12" spans="1:11" ht="25.5">
      <c r="A12" s="143" t="s">
        <v>201</v>
      </c>
      <c r="B12" s="142" t="s">
        <v>231</v>
      </c>
      <c r="C12" s="144">
        <v>1884514899</v>
      </c>
      <c r="D12" s="140" t="s">
        <v>255</v>
      </c>
      <c r="E12" s="143" t="s">
        <v>281</v>
      </c>
      <c r="F12" s="145">
        <v>6</v>
      </c>
      <c r="G12">
        <v>6</v>
      </c>
    </row>
    <row r="13" spans="1:11" ht="25.5">
      <c r="A13" s="143" t="s">
        <v>201</v>
      </c>
      <c r="B13" s="142" t="s">
        <v>233</v>
      </c>
      <c r="C13" s="144">
        <v>1282482674</v>
      </c>
      <c r="D13" s="140" t="s">
        <v>256</v>
      </c>
      <c r="E13" s="143" t="s">
        <v>282</v>
      </c>
      <c r="F13" s="145">
        <v>5</v>
      </c>
      <c r="H13">
        <v>5</v>
      </c>
    </row>
    <row r="14" spans="1:11" s="152" customFormat="1" ht="26.25" thickBot="1">
      <c r="A14" s="147" t="s">
        <v>201</v>
      </c>
      <c r="B14" s="148" t="s">
        <v>235</v>
      </c>
      <c r="C14" s="149">
        <v>960874888</v>
      </c>
      <c r="D14" s="150" t="s">
        <v>257</v>
      </c>
      <c r="E14" s="147" t="s">
        <v>283</v>
      </c>
      <c r="F14" s="151">
        <v>8</v>
      </c>
      <c r="H14" s="152">
        <v>8</v>
      </c>
    </row>
    <row r="15" spans="1:11" ht="26.25" thickTop="1">
      <c r="A15" s="143" t="s">
        <v>201</v>
      </c>
      <c r="B15" s="142" t="s">
        <v>237</v>
      </c>
      <c r="C15" s="144">
        <v>1280284535</v>
      </c>
      <c r="D15" s="140" t="s">
        <v>258</v>
      </c>
      <c r="E15" s="178" t="s">
        <v>284</v>
      </c>
      <c r="F15" s="179">
        <v>8</v>
      </c>
      <c r="G15" s="180">
        <v>8</v>
      </c>
      <c r="H15" s="180"/>
    </row>
    <row r="16" spans="1:11" ht="33">
      <c r="A16" s="143" t="s">
        <v>201</v>
      </c>
      <c r="B16" s="142" t="s">
        <v>239</v>
      </c>
      <c r="C16" s="144">
        <v>343551212</v>
      </c>
      <c r="D16" s="146" t="s">
        <v>292</v>
      </c>
      <c r="E16" s="178" t="s">
        <v>285</v>
      </c>
      <c r="F16" s="179">
        <v>9</v>
      </c>
      <c r="G16" s="180">
        <v>9</v>
      </c>
      <c r="H16" s="180"/>
    </row>
    <row r="17" spans="1:9" ht="25.5">
      <c r="A17" s="143" t="s">
        <v>201</v>
      </c>
      <c r="B17" s="142" t="s">
        <v>241</v>
      </c>
      <c r="C17" s="144">
        <v>1588177165</v>
      </c>
      <c r="D17" s="140" t="s">
        <v>259</v>
      </c>
      <c r="E17" s="178" t="s">
        <v>286</v>
      </c>
      <c r="F17" s="179">
        <v>9</v>
      </c>
      <c r="G17" s="180"/>
      <c r="H17" s="180">
        <v>9</v>
      </c>
    </row>
    <row r="18" spans="1:9" ht="27">
      <c r="A18" s="143" t="s">
        <v>201</v>
      </c>
      <c r="B18" s="142" t="s">
        <v>243</v>
      </c>
      <c r="C18" s="144">
        <v>1516336456</v>
      </c>
      <c r="D18" s="140" t="s">
        <v>260</v>
      </c>
      <c r="E18" s="143" t="s">
        <v>287</v>
      </c>
      <c r="F18" s="145">
        <v>9</v>
      </c>
      <c r="H18">
        <v>9</v>
      </c>
    </row>
    <row r="19" spans="1:9" s="152" customFormat="1" ht="50.25" thickBot="1">
      <c r="A19" s="147" t="s">
        <v>201</v>
      </c>
      <c r="B19" s="148" t="s">
        <v>245</v>
      </c>
      <c r="C19" s="149">
        <v>2188895935</v>
      </c>
      <c r="D19" s="154" t="s">
        <v>293</v>
      </c>
      <c r="E19" s="147" t="s">
        <v>288</v>
      </c>
      <c r="F19" s="151">
        <v>10</v>
      </c>
      <c r="I19" s="152">
        <v>10</v>
      </c>
    </row>
    <row r="20" spans="1:9" ht="26.25" thickTop="1">
      <c r="A20" s="143" t="s">
        <v>201</v>
      </c>
      <c r="B20" s="142" t="s">
        <v>247</v>
      </c>
      <c r="C20" s="144">
        <v>1115298912</v>
      </c>
      <c r="D20" s="140" t="s">
        <v>271</v>
      </c>
      <c r="E20" s="143" t="s">
        <v>289</v>
      </c>
      <c r="F20" s="145">
        <v>8</v>
      </c>
      <c r="G20">
        <v>8</v>
      </c>
    </row>
    <row r="21" spans="1:9" s="152" customFormat="1" ht="50.25" thickBot="1">
      <c r="A21" s="147" t="s">
        <v>201</v>
      </c>
      <c r="B21" s="148" t="s">
        <v>249</v>
      </c>
      <c r="C21" s="149">
        <v>341687942</v>
      </c>
      <c r="D21" s="154" t="s">
        <v>294</v>
      </c>
      <c r="E21" s="147" t="s">
        <v>290</v>
      </c>
      <c r="F21" s="151">
        <v>8</v>
      </c>
      <c r="H21" s="152">
        <v>8</v>
      </c>
    </row>
    <row r="22" spans="1:9" ht="26.25" thickTop="1">
      <c r="A22" s="143" t="s">
        <v>201</v>
      </c>
      <c r="B22" s="142" t="s">
        <v>251</v>
      </c>
      <c r="C22" s="144">
        <v>1954381745</v>
      </c>
      <c r="D22" s="140" t="s">
        <v>261</v>
      </c>
      <c r="E22" s="143" t="s">
        <v>291</v>
      </c>
      <c r="F22" s="145">
        <v>6</v>
      </c>
      <c r="G22">
        <v>6</v>
      </c>
    </row>
    <row r="23" spans="1:9">
      <c r="D23" s="153"/>
    </row>
    <row r="24" spans="1:9">
      <c r="A24" s="143" t="s">
        <v>146</v>
      </c>
      <c r="C24" s="2">
        <v>1737548149</v>
      </c>
      <c r="D24" s="153" t="s">
        <v>298</v>
      </c>
      <c r="I24">
        <v>10</v>
      </c>
    </row>
  </sheetData>
  <phoneticPr fontId="1" type="noConversion"/>
  <hyperlinks>
    <hyperlink ref="D16" r:id="rId1" xr:uid="{65A5B60C-19B7-4769-AC2A-BF62C84AE936}"/>
    <hyperlink ref="D19" r:id="rId2" xr:uid="{D632F41A-226C-425C-BEDF-FF15BA55965F}"/>
    <hyperlink ref="D21" r:id="rId3" xr:uid="{AF21D8FB-6438-4877-BC1E-B57642CD4E72}"/>
    <hyperlink ref="D4" r:id="rId4" xr:uid="{7C764C73-B300-441C-A6F3-28599DD7D1AD}"/>
  </hyperlinks>
  <pageMargins left="0.7" right="0.7" top="0.75" bottom="0.75" header="0.3" footer="0.3"/>
  <pageSetup paperSize="9" orientation="portrait" r:id="rId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2712-2824-4F6A-B268-B3047C65C691}">
  <dimension ref="A1:H5"/>
  <sheetViews>
    <sheetView workbookViewId="0">
      <selection activeCell="B15" sqref="B15"/>
    </sheetView>
  </sheetViews>
  <sheetFormatPr defaultRowHeight="16.5"/>
  <cols>
    <col min="1" max="1" width="21.125" customWidth="1"/>
    <col min="3" max="3" width="39" customWidth="1"/>
    <col min="4" max="5" width="5.75" bestFit="1" customWidth="1"/>
  </cols>
  <sheetData>
    <row r="1" spans="1:8" ht="17.25" thickBot="1">
      <c r="A1" s="136" t="s">
        <v>221</v>
      </c>
      <c r="B1" s="136" t="s">
        <v>222</v>
      </c>
      <c r="C1" s="136" t="s">
        <v>223</v>
      </c>
      <c r="D1" s="136" t="s">
        <v>224</v>
      </c>
      <c r="E1" s="136" t="s">
        <v>225</v>
      </c>
      <c r="F1" s="136" t="s">
        <v>226</v>
      </c>
      <c r="G1" s="136" t="s">
        <v>227</v>
      </c>
      <c r="H1" s="136" t="s">
        <v>228</v>
      </c>
    </row>
    <row r="2" spans="1:8" ht="17.25" thickBot="1">
      <c r="A2" s="130" t="s">
        <v>214</v>
      </c>
      <c r="B2" s="131" t="s">
        <v>215</v>
      </c>
      <c r="C2" s="132" t="s">
        <v>216</v>
      </c>
      <c r="D2" s="133">
        <v>90</v>
      </c>
      <c r="E2" s="134">
        <v>9</v>
      </c>
      <c r="F2" s="135">
        <v>7</v>
      </c>
      <c r="G2" s="130">
        <v>0</v>
      </c>
    </row>
    <row r="3" spans="1:8" ht="17.25" thickBot="1">
      <c r="A3" s="130" t="s">
        <v>214</v>
      </c>
      <c r="B3" s="131" t="s">
        <v>215</v>
      </c>
      <c r="C3" s="132" t="s">
        <v>217</v>
      </c>
      <c r="D3" s="133">
        <v>90</v>
      </c>
      <c r="E3" s="134">
        <v>6</v>
      </c>
      <c r="F3" s="135">
        <v>4</v>
      </c>
      <c r="G3" s="130">
        <v>0</v>
      </c>
    </row>
    <row r="4" spans="1:8" ht="17.25" thickBot="1">
      <c r="A4" s="130" t="s">
        <v>218</v>
      </c>
      <c r="B4" s="131" t="s">
        <v>215</v>
      </c>
      <c r="C4" s="132" t="s">
        <v>219</v>
      </c>
      <c r="D4" s="133">
        <v>100</v>
      </c>
      <c r="E4" s="134">
        <v>4</v>
      </c>
      <c r="F4" s="135">
        <v>0</v>
      </c>
      <c r="G4" s="130">
        <v>0</v>
      </c>
    </row>
    <row r="5" spans="1:8">
      <c r="A5" s="130" t="s">
        <v>218</v>
      </c>
      <c r="B5" s="131" t="s">
        <v>215</v>
      </c>
      <c r="C5" s="132" t="s">
        <v>220</v>
      </c>
      <c r="D5" s="133">
        <v>90</v>
      </c>
      <c r="E5" s="134">
        <v>3</v>
      </c>
      <c r="F5" s="135">
        <v>0</v>
      </c>
      <c r="G5" s="130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4394-D505-4666-9E00-F90B1C316F5C}">
  <dimension ref="B3:P54"/>
  <sheetViews>
    <sheetView zoomScaleNormal="100" workbookViewId="0">
      <selection activeCell="D37" sqref="D37"/>
    </sheetView>
  </sheetViews>
  <sheetFormatPr defaultRowHeight="16.5"/>
  <cols>
    <col min="2" max="2" width="15.875" bestFit="1" customWidth="1"/>
    <col min="3" max="3" width="15.875" customWidth="1"/>
    <col min="4" max="4" width="12.375" bestFit="1" customWidth="1"/>
  </cols>
  <sheetData>
    <row r="3" spans="2:13">
      <c r="C3" t="s">
        <v>159</v>
      </c>
      <c r="D3" t="s">
        <v>12</v>
      </c>
      <c r="E3" t="s">
        <v>13</v>
      </c>
      <c r="F3" t="s">
        <v>74</v>
      </c>
      <c r="G3" t="s">
        <v>144</v>
      </c>
      <c r="H3" t="s">
        <v>11</v>
      </c>
      <c r="I3" t="s">
        <v>26</v>
      </c>
      <c r="J3" t="s">
        <v>145</v>
      </c>
      <c r="K3" t="s">
        <v>54</v>
      </c>
      <c r="L3" t="s">
        <v>53</v>
      </c>
      <c r="M3" t="s">
        <v>169</v>
      </c>
    </row>
    <row r="4" spans="2:13">
      <c r="B4" t="s">
        <v>10</v>
      </c>
      <c r="D4">
        <v>500</v>
      </c>
      <c r="E4">
        <v>400</v>
      </c>
      <c r="H4">
        <v>100</v>
      </c>
      <c r="J4">
        <v>200</v>
      </c>
    </row>
    <row r="5" spans="2:13">
      <c r="B5" s="1" t="s">
        <v>0</v>
      </c>
      <c r="D5">
        <v>150</v>
      </c>
      <c r="E5">
        <v>100</v>
      </c>
      <c r="G5">
        <v>200</v>
      </c>
      <c r="H5">
        <v>100</v>
      </c>
      <c r="J5">
        <v>150</v>
      </c>
    </row>
    <row r="6" spans="2:13">
      <c r="B6" s="1" t="s">
        <v>1</v>
      </c>
      <c r="C6" s="3"/>
      <c r="D6">
        <v>250</v>
      </c>
      <c r="E6">
        <v>200</v>
      </c>
      <c r="H6">
        <v>100</v>
      </c>
      <c r="J6">
        <v>150</v>
      </c>
    </row>
    <row r="7" spans="2:13">
      <c r="B7" t="s">
        <v>58</v>
      </c>
      <c r="D7" s="3">
        <v>200</v>
      </c>
      <c r="E7">
        <v>200</v>
      </c>
      <c r="H7">
        <v>100</v>
      </c>
      <c r="J7">
        <v>100</v>
      </c>
    </row>
    <row r="8" spans="2:13">
      <c r="B8" t="s">
        <v>59</v>
      </c>
      <c r="D8">
        <v>50</v>
      </c>
      <c r="J8">
        <v>50</v>
      </c>
      <c r="M8" t="s">
        <v>170</v>
      </c>
    </row>
    <row r="9" spans="2:13">
      <c r="B9" t="s">
        <v>171</v>
      </c>
      <c r="D9">
        <v>300</v>
      </c>
      <c r="H9">
        <v>100</v>
      </c>
      <c r="I9">
        <v>100</v>
      </c>
      <c r="J9">
        <v>100</v>
      </c>
    </row>
    <row r="10" spans="2:13">
      <c r="I10" s="3"/>
      <c r="J10" s="3"/>
    </row>
    <row r="11" spans="2:13">
      <c r="B11" t="s">
        <v>5</v>
      </c>
      <c r="D11">
        <v>100</v>
      </c>
    </row>
    <row r="12" spans="2:13">
      <c r="B12" t="s">
        <v>6</v>
      </c>
      <c r="D12">
        <v>200</v>
      </c>
    </row>
    <row r="13" spans="2:13">
      <c r="B13" t="s">
        <v>18</v>
      </c>
    </row>
    <row r="15" spans="2:13">
      <c r="B15" t="s">
        <v>172</v>
      </c>
      <c r="D15">
        <v>100</v>
      </c>
      <c r="F15" t="s">
        <v>168</v>
      </c>
      <c r="G15" t="s">
        <v>167</v>
      </c>
    </row>
    <row r="16" spans="2:13">
      <c r="B16" s="3" t="s">
        <v>8</v>
      </c>
      <c r="C16" s="3"/>
      <c r="D16">
        <v>100</v>
      </c>
      <c r="J16">
        <v>50</v>
      </c>
    </row>
    <row r="17" spans="2:16">
      <c r="B17" s="3"/>
      <c r="C17" s="3"/>
    </row>
    <row r="18" spans="2:16">
      <c r="B18" t="s">
        <v>98</v>
      </c>
      <c r="D18">
        <v>300</v>
      </c>
      <c r="J18">
        <v>100</v>
      </c>
      <c r="L18">
        <v>15</v>
      </c>
      <c r="P18" t="s">
        <v>108</v>
      </c>
    </row>
    <row r="19" spans="2:16">
      <c r="B19" t="s">
        <v>162</v>
      </c>
      <c r="D19">
        <v>200</v>
      </c>
      <c r="J19">
        <v>100</v>
      </c>
      <c r="L19">
        <v>5</v>
      </c>
      <c r="P19" t="s">
        <v>107</v>
      </c>
    </row>
    <row r="20" spans="2:16">
      <c r="B20" t="s">
        <v>163</v>
      </c>
      <c r="D20">
        <v>300</v>
      </c>
      <c r="J20">
        <v>100</v>
      </c>
      <c r="L20">
        <v>10</v>
      </c>
      <c r="P20" t="s">
        <v>109</v>
      </c>
    </row>
    <row r="21" spans="2:16">
      <c r="B21" t="s">
        <v>164</v>
      </c>
      <c r="D21">
        <v>150</v>
      </c>
      <c r="J21">
        <v>100</v>
      </c>
      <c r="L21">
        <v>5</v>
      </c>
    </row>
    <row r="23" spans="2:16">
      <c r="B23" t="s">
        <v>160</v>
      </c>
      <c r="D23">
        <v>150</v>
      </c>
      <c r="J23">
        <v>50</v>
      </c>
    </row>
    <row r="24" spans="2:16">
      <c r="B24" t="s">
        <v>161</v>
      </c>
      <c r="D24">
        <v>150</v>
      </c>
      <c r="J24">
        <v>50</v>
      </c>
    </row>
    <row r="26" spans="2:16">
      <c r="B26" t="s">
        <v>146</v>
      </c>
      <c r="D26">
        <v>100</v>
      </c>
      <c r="J26">
        <v>100</v>
      </c>
      <c r="L26" t="s">
        <v>117</v>
      </c>
    </row>
    <row r="27" spans="2:16">
      <c r="B27" t="s">
        <v>165</v>
      </c>
      <c r="K27" t="s">
        <v>62</v>
      </c>
    </row>
    <row r="28" spans="2:16">
      <c r="B28" t="s">
        <v>166</v>
      </c>
      <c r="K28" t="s">
        <v>62</v>
      </c>
    </row>
    <row r="30" spans="2:16">
      <c r="B30" t="s">
        <v>79</v>
      </c>
    </row>
    <row r="31" spans="2:16">
      <c r="B31" t="s">
        <v>94</v>
      </c>
    </row>
    <row r="32" spans="2:16">
      <c r="B32" t="s">
        <v>49</v>
      </c>
    </row>
    <row r="33" spans="2:10">
      <c r="B33" t="s">
        <v>56</v>
      </c>
    </row>
    <row r="34" spans="2:10">
      <c r="B34" t="s">
        <v>96</v>
      </c>
    </row>
    <row r="35" spans="2:10">
      <c r="B35" t="s">
        <v>91</v>
      </c>
      <c r="D35" s="10"/>
    </row>
    <row r="36" spans="2:10">
      <c r="B36" s="1" t="s">
        <v>55</v>
      </c>
      <c r="C36" s="1"/>
      <c r="I36" s="3"/>
      <c r="J36" s="3"/>
    </row>
    <row r="40" spans="2:10" ht="15.75" customHeight="1"/>
    <row r="41" spans="2:10">
      <c r="E41" s="3"/>
      <c r="F41" s="3"/>
      <c r="G41" s="3"/>
    </row>
    <row r="44" spans="2:10" ht="15.75" customHeight="1"/>
    <row r="47" spans="2:10">
      <c r="B47" s="7">
        <v>3360520</v>
      </c>
      <c r="C47" s="7"/>
    </row>
    <row r="49" spans="2:4">
      <c r="B49" t="s">
        <v>103</v>
      </c>
      <c r="D49">
        <v>1244435</v>
      </c>
    </row>
    <row r="50" spans="2:4">
      <c r="B50" t="s">
        <v>105</v>
      </c>
      <c r="D50">
        <v>460960</v>
      </c>
    </row>
    <row r="51" spans="2:4">
      <c r="B51" t="s">
        <v>104</v>
      </c>
      <c r="D51">
        <v>579500</v>
      </c>
    </row>
    <row r="52" spans="2:4">
      <c r="D52" s="7">
        <f>SUM(D49:D51)</f>
        <v>2284895</v>
      </c>
    </row>
    <row r="54" spans="2:4">
      <c r="B54" s="12">
        <f>B47-D52</f>
        <v>1075625</v>
      </c>
      <c r="C54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E275-C1F8-45B1-B844-91DB961094A3}">
  <dimension ref="A2:U51"/>
  <sheetViews>
    <sheetView zoomScale="85" zoomScaleNormal="85" workbookViewId="0">
      <selection activeCell="F12" sqref="F12:L12"/>
    </sheetView>
  </sheetViews>
  <sheetFormatPr defaultRowHeight="16.5"/>
  <cols>
    <col min="4" max="4" width="15.125" style="15" bestFit="1" customWidth="1"/>
    <col min="5" max="5" width="15.125" style="15" customWidth="1"/>
    <col min="6" max="6" width="14" style="2" bestFit="1" customWidth="1"/>
    <col min="7" max="7" width="10.875" style="2" bestFit="1" customWidth="1"/>
    <col min="8" max="10" width="9" style="2"/>
    <col min="11" max="11" width="10.375" style="2" customWidth="1"/>
    <col min="12" max="12" width="9.875" style="2" customWidth="1"/>
    <col min="13" max="21" width="9" style="2"/>
  </cols>
  <sheetData>
    <row r="2" spans="1:21" ht="17.25" thickBot="1"/>
    <row r="3" spans="1:21" s="13" customFormat="1" ht="23.25" customHeight="1">
      <c r="A3" s="13" t="s">
        <v>46</v>
      </c>
      <c r="D3" s="16"/>
      <c r="E3" s="47" t="s">
        <v>159</v>
      </c>
      <c r="F3" s="17" t="s">
        <v>75</v>
      </c>
      <c r="G3" s="19" t="s">
        <v>114</v>
      </c>
      <c r="H3" s="18" t="s">
        <v>72</v>
      </c>
      <c r="I3" s="18" t="s">
        <v>74</v>
      </c>
      <c r="J3" s="27" t="s">
        <v>11</v>
      </c>
      <c r="K3" s="17" t="s">
        <v>156</v>
      </c>
      <c r="L3" s="19" t="s">
        <v>121</v>
      </c>
      <c r="M3" s="17" t="s">
        <v>54</v>
      </c>
      <c r="N3" s="18" t="s">
        <v>116</v>
      </c>
      <c r="O3" s="18">
        <v>247</v>
      </c>
      <c r="P3" s="19" t="s">
        <v>53</v>
      </c>
      <c r="Q3" s="15"/>
      <c r="R3" s="15"/>
      <c r="S3" s="15"/>
      <c r="T3" s="15"/>
      <c r="U3" s="15"/>
    </row>
    <row r="4" spans="1:21">
      <c r="B4" t="s">
        <v>51</v>
      </c>
      <c r="D4" s="16" t="s">
        <v>27</v>
      </c>
      <c r="E4" s="27"/>
      <c r="F4" s="20">
        <v>300</v>
      </c>
      <c r="G4" s="21"/>
      <c r="H4" s="5"/>
      <c r="I4" s="5"/>
      <c r="J4" s="28">
        <v>100</v>
      </c>
      <c r="K4" s="20">
        <v>100</v>
      </c>
      <c r="L4" s="21"/>
      <c r="M4" s="20" t="s">
        <v>137</v>
      </c>
      <c r="N4" s="5"/>
      <c r="O4" s="5"/>
      <c r="P4" s="21"/>
    </row>
    <row r="5" spans="1:21">
      <c r="B5" t="s">
        <v>51</v>
      </c>
      <c r="D5" s="31" t="s">
        <v>28</v>
      </c>
      <c r="E5" s="48"/>
      <c r="F5" s="32"/>
      <c r="G5" s="34">
        <v>200</v>
      </c>
      <c r="H5" s="33"/>
      <c r="I5" s="33"/>
      <c r="J5" s="35">
        <v>100</v>
      </c>
      <c r="K5" s="32">
        <v>100</v>
      </c>
      <c r="L5" s="34"/>
      <c r="M5" s="36"/>
      <c r="N5" s="33"/>
      <c r="O5" s="33"/>
      <c r="P5" s="34"/>
    </row>
    <row r="6" spans="1:21">
      <c r="B6" t="s">
        <v>51</v>
      </c>
      <c r="D6" s="16" t="s">
        <v>29</v>
      </c>
      <c r="E6" s="27"/>
      <c r="F6" s="20"/>
      <c r="G6" s="21"/>
      <c r="H6" s="5"/>
      <c r="I6" s="5">
        <v>300</v>
      </c>
      <c r="J6" s="28">
        <v>100</v>
      </c>
      <c r="K6" s="20">
        <v>100</v>
      </c>
      <c r="L6" s="21"/>
      <c r="M6" s="29"/>
      <c r="N6" s="5"/>
      <c r="O6" s="5"/>
      <c r="P6" s="21"/>
    </row>
    <row r="7" spans="1:21" s="37" customFormat="1">
      <c r="B7" s="37" t="s">
        <v>51</v>
      </c>
      <c r="D7" s="31" t="s">
        <v>30</v>
      </c>
      <c r="E7" s="48"/>
      <c r="F7" s="32">
        <v>300</v>
      </c>
      <c r="G7" s="34"/>
      <c r="H7" s="33"/>
      <c r="I7" s="33"/>
      <c r="J7" s="35">
        <v>100</v>
      </c>
      <c r="K7" s="32"/>
      <c r="L7" s="34">
        <v>100</v>
      </c>
      <c r="M7" s="36"/>
      <c r="N7" s="33"/>
      <c r="O7" s="33"/>
      <c r="P7" s="34"/>
      <c r="Q7" s="38"/>
      <c r="R7" s="38"/>
      <c r="S7" s="38"/>
      <c r="T7" s="38"/>
      <c r="U7" s="38"/>
    </row>
    <row r="8" spans="1:21">
      <c r="B8" t="s">
        <v>51</v>
      </c>
      <c r="C8" s="37" t="s">
        <v>128</v>
      </c>
      <c r="D8" s="16" t="s">
        <v>31</v>
      </c>
      <c r="E8" s="27" t="s">
        <v>51</v>
      </c>
      <c r="F8" s="20">
        <v>300</v>
      </c>
      <c r="G8" s="21"/>
      <c r="H8" s="5"/>
      <c r="I8" s="5"/>
      <c r="J8" s="28">
        <v>100</v>
      </c>
      <c r="K8" s="20"/>
      <c r="L8" s="21">
        <v>100</v>
      </c>
      <c r="M8" s="29"/>
      <c r="N8" s="5"/>
      <c r="O8" s="5"/>
      <c r="P8" s="21"/>
    </row>
    <row r="9" spans="1:21">
      <c r="D9" s="16"/>
      <c r="E9" s="27"/>
      <c r="F9" s="20"/>
      <c r="G9" s="21"/>
      <c r="H9" s="5"/>
      <c r="I9" s="5"/>
      <c r="J9" s="28"/>
      <c r="K9" s="20"/>
      <c r="L9" s="21"/>
      <c r="M9" s="29"/>
      <c r="N9" s="5"/>
      <c r="O9" s="5"/>
      <c r="P9" s="21"/>
    </row>
    <row r="10" spans="1:21">
      <c r="A10" s="13" t="s">
        <v>32</v>
      </c>
      <c r="B10" s="13" t="s">
        <v>51</v>
      </c>
      <c r="C10" s="13"/>
      <c r="D10" s="16" t="s">
        <v>33</v>
      </c>
      <c r="E10" s="27" t="s">
        <v>51</v>
      </c>
      <c r="F10" s="20">
        <v>200</v>
      </c>
      <c r="G10" s="21"/>
      <c r="H10" s="5">
        <v>200</v>
      </c>
      <c r="I10" s="5"/>
      <c r="J10" s="28">
        <v>100</v>
      </c>
      <c r="K10" s="20">
        <v>100</v>
      </c>
      <c r="L10" s="21"/>
      <c r="M10" s="29"/>
      <c r="N10" s="5"/>
      <c r="O10" s="5"/>
      <c r="P10" s="21"/>
    </row>
    <row r="11" spans="1:21" s="37" customFormat="1">
      <c r="B11" s="37" t="s">
        <v>51</v>
      </c>
      <c r="D11" s="31" t="s">
        <v>34</v>
      </c>
      <c r="E11" s="48" t="s">
        <v>51</v>
      </c>
      <c r="F11" s="32"/>
      <c r="G11" s="34"/>
      <c r="H11" s="33"/>
      <c r="I11" s="33"/>
      <c r="J11" s="35"/>
      <c r="K11" s="32"/>
      <c r="L11" s="34"/>
      <c r="M11" s="36"/>
      <c r="N11" s="33"/>
      <c r="O11" s="33"/>
      <c r="P11" s="34"/>
      <c r="Q11" s="38"/>
      <c r="R11" s="38"/>
      <c r="S11" s="38"/>
      <c r="T11" s="38"/>
      <c r="U11" s="38"/>
    </row>
    <row r="12" spans="1:21">
      <c r="B12" t="s">
        <v>51</v>
      </c>
      <c r="D12" s="16" t="s">
        <v>70</v>
      </c>
      <c r="E12" s="27" t="s">
        <v>51</v>
      </c>
      <c r="F12" s="20">
        <v>350</v>
      </c>
      <c r="G12" s="21"/>
      <c r="H12" s="5"/>
      <c r="I12" s="5"/>
      <c r="J12" s="28"/>
      <c r="K12" s="20">
        <v>100</v>
      </c>
      <c r="L12" s="21">
        <v>50</v>
      </c>
      <c r="M12" s="29"/>
      <c r="N12" s="5"/>
      <c r="O12" s="5"/>
      <c r="P12" s="21"/>
    </row>
    <row r="13" spans="1:21">
      <c r="D13" s="14" t="s">
        <v>126</v>
      </c>
      <c r="E13" s="15" t="s">
        <v>51</v>
      </c>
      <c r="G13" s="23">
        <v>50</v>
      </c>
      <c r="K13" s="22"/>
      <c r="L13" s="23">
        <v>50</v>
      </c>
      <c r="M13" s="30"/>
      <c r="N13" s="15"/>
      <c r="P13" s="23"/>
    </row>
    <row r="14" spans="1:21">
      <c r="D14" s="16" t="s">
        <v>33</v>
      </c>
      <c r="E14" s="15" t="s">
        <v>51</v>
      </c>
      <c r="G14" s="23"/>
      <c r="K14" s="22"/>
      <c r="L14" s="23"/>
      <c r="M14" s="30" t="s">
        <v>154</v>
      </c>
      <c r="N14" s="15"/>
      <c r="P14" s="23"/>
    </row>
    <row r="15" spans="1:21">
      <c r="D15" s="16" t="s">
        <v>10</v>
      </c>
      <c r="E15" s="15" t="s">
        <v>51</v>
      </c>
      <c r="G15" s="23"/>
      <c r="K15" s="22"/>
      <c r="L15" s="23"/>
      <c r="M15" s="30" t="s">
        <v>155</v>
      </c>
      <c r="N15" s="15"/>
      <c r="P15" s="23"/>
    </row>
    <row r="16" spans="1:21">
      <c r="D16" s="16"/>
      <c r="G16" s="23"/>
      <c r="K16" s="22"/>
      <c r="L16" s="23"/>
      <c r="M16" s="30"/>
      <c r="N16" s="15"/>
      <c r="P16" s="23"/>
    </row>
    <row r="17" spans="2:21">
      <c r="B17" t="s">
        <v>51</v>
      </c>
      <c r="D17" s="16" t="s">
        <v>138</v>
      </c>
      <c r="E17" s="27"/>
      <c r="F17" s="20"/>
      <c r="G17" s="21"/>
      <c r="H17" s="5"/>
      <c r="I17" s="5"/>
      <c r="J17" s="28"/>
      <c r="K17" s="20"/>
      <c r="L17" s="21"/>
      <c r="M17" s="29"/>
      <c r="N17" s="5"/>
      <c r="O17" s="5"/>
      <c r="P17" s="21"/>
    </row>
    <row r="18" spans="2:21" s="37" customFormat="1">
      <c r="B18" s="37" t="s">
        <v>51</v>
      </c>
      <c r="D18" s="31" t="s">
        <v>36</v>
      </c>
      <c r="E18" s="48"/>
      <c r="F18" s="32">
        <v>200</v>
      </c>
      <c r="G18" s="34">
        <v>200</v>
      </c>
      <c r="H18" s="33"/>
      <c r="I18" s="33"/>
      <c r="J18" s="35"/>
      <c r="K18" s="32"/>
      <c r="L18" s="34">
        <v>200</v>
      </c>
      <c r="M18" s="36"/>
      <c r="N18" s="33"/>
      <c r="O18" s="33"/>
      <c r="P18" s="34"/>
      <c r="Q18" s="38"/>
      <c r="R18" s="38"/>
      <c r="S18" s="38"/>
      <c r="T18" s="38"/>
      <c r="U18" s="38"/>
    </row>
    <row r="19" spans="2:21">
      <c r="B19" t="s">
        <v>51</v>
      </c>
      <c r="D19" s="16" t="s">
        <v>21</v>
      </c>
      <c r="E19" s="27" t="s">
        <v>51</v>
      </c>
      <c r="F19" s="20">
        <v>400</v>
      </c>
      <c r="G19" s="21">
        <v>300</v>
      </c>
      <c r="H19" s="5"/>
      <c r="I19" s="5">
        <v>300</v>
      </c>
      <c r="J19" s="28">
        <v>200</v>
      </c>
      <c r="K19" s="20"/>
      <c r="L19" s="21">
        <v>200</v>
      </c>
      <c r="M19" s="44"/>
      <c r="N19" s="5"/>
      <c r="O19" s="5"/>
      <c r="P19" s="21"/>
    </row>
    <row r="20" spans="2:21" s="37" customFormat="1">
      <c r="D20" s="31" t="s">
        <v>37</v>
      </c>
      <c r="E20" s="48"/>
      <c r="F20" s="32">
        <v>250</v>
      </c>
      <c r="G20" s="34">
        <v>100</v>
      </c>
      <c r="H20" s="33"/>
      <c r="I20" s="33"/>
      <c r="J20" s="35"/>
      <c r="K20" s="32"/>
      <c r="L20" s="34">
        <v>100</v>
      </c>
      <c r="M20" s="46" t="s">
        <v>157</v>
      </c>
      <c r="N20" s="33"/>
      <c r="O20" s="33"/>
      <c r="P20" s="34"/>
      <c r="Q20" s="38"/>
      <c r="R20" s="38"/>
      <c r="S20" s="38"/>
      <c r="T20" s="38"/>
      <c r="U20" s="38"/>
    </row>
    <row r="21" spans="2:21">
      <c r="D21" s="16"/>
      <c r="E21" s="27"/>
      <c r="F21" s="20"/>
      <c r="G21" s="21"/>
      <c r="H21" s="5"/>
      <c r="I21" s="5"/>
      <c r="J21" s="28"/>
      <c r="K21" s="20"/>
      <c r="L21" s="21"/>
      <c r="M21" s="20"/>
      <c r="N21" s="5"/>
      <c r="O21" s="5"/>
      <c r="P21" s="21"/>
    </row>
    <row r="22" spans="2:21">
      <c r="D22" s="16"/>
      <c r="E22" s="27"/>
      <c r="F22" s="20"/>
      <c r="G22" s="21"/>
      <c r="H22" s="5"/>
      <c r="I22" s="5"/>
      <c r="J22" s="28"/>
      <c r="K22" s="20"/>
      <c r="L22" s="21"/>
      <c r="M22" s="20"/>
      <c r="N22" s="5"/>
      <c r="O22" s="5"/>
      <c r="P22" s="21"/>
    </row>
    <row r="23" spans="2:21">
      <c r="D23" s="16"/>
      <c r="E23" s="27"/>
      <c r="F23" s="20"/>
      <c r="G23" s="21"/>
      <c r="H23" s="5"/>
      <c r="I23" s="5"/>
      <c r="J23" s="28"/>
      <c r="K23" s="20"/>
      <c r="L23" s="21"/>
      <c r="M23" s="20"/>
      <c r="N23" s="5"/>
      <c r="O23" s="5"/>
      <c r="P23" s="21"/>
    </row>
    <row r="24" spans="2:21" s="37" customFormat="1">
      <c r="B24" s="37" t="s">
        <v>51</v>
      </c>
      <c r="D24" s="31" t="s">
        <v>47</v>
      </c>
      <c r="E24" s="48" t="s">
        <v>51</v>
      </c>
      <c r="F24" s="32">
        <v>400</v>
      </c>
      <c r="G24" s="34"/>
      <c r="H24" s="33"/>
      <c r="I24" s="33"/>
      <c r="J24" s="35">
        <v>100</v>
      </c>
      <c r="K24" s="32">
        <v>100</v>
      </c>
      <c r="L24" s="34">
        <v>100</v>
      </c>
      <c r="M24" s="32"/>
      <c r="N24" s="33"/>
      <c r="O24" s="33"/>
      <c r="P24" s="34"/>
      <c r="Q24" s="38"/>
      <c r="R24" s="38"/>
      <c r="S24" s="38"/>
      <c r="T24" s="38"/>
      <c r="U24" s="38"/>
    </row>
    <row r="25" spans="2:21">
      <c r="D25" s="16" t="s">
        <v>41</v>
      </c>
      <c r="E25" s="27" t="s">
        <v>51</v>
      </c>
      <c r="F25" s="20">
        <v>250</v>
      </c>
      <c r="G25" s="21"/>
      <c r="H25" s="5"/>
      <c r="I25" s="5"/>
      <c r="J25" s="28"/>
      <c r="K25" s="20"/>
      <c r="L25" s="21">
        <v>50</v>
      </c>
      <c r="M25" s="20"/>
      <c r="N25" s="5"/>
      <c r="O25" s="5"/>
      <c r="P25" s="21"/>
      <c r="Q25" s="45"/>
    </row>
    <row r="26" spans="2:21" s="37" customFormat="1">
      <c r="B26" s="37" t="s">
        <v>51</v>
      </c>
      <c r="D26" s="31" t="s">
        <v>35</v>
      </c>
      <c r="E26" s="48" t="s">
        <v>51</v>
      </c>
      <c r="F26" s="32">
        <v>200</v>
      </c>
      <c r="G26" s="34"/>
      <c r="H26" s="33"/>
      <c r="I26" s="33"/>
      <c r="J26" s="35"/>
      <c r="K26" s="32"/>
      <c r="L26" s="34"/>
      <c r="M26" s="32"/>
      <c r="N26" s="33"/>
      <c r="O26" s="33"/>
      <c r="P26" s="34"/>
      <c r="Q26" s="38"/>
      <c r="R26" s="38"/>
      <c r="S26" s="38"/>
      <c r="T26" s="38"/>
      <c r="U26" s="38"/>
    </row>
    <row r="27" spans="2:21">
      <c r="B27" t="s">
        <v>51</v>
      </c>
      <c r="D27" s="16" t="s">
        <v>73</v>
      </c>
      <c r="E27" s="27" t="s">
        <v>51</v>
      </c>
      <c r="F27" s="20">
        <v>100</v>
      </c>
      <c r="G27" s="21"/>
      <c r="H27" s="5"/>
      <c r="I27" s="5"/>
      <c r="J27" s="28"/>
      <c r="K27" s="20">
        <v>50</v>
      </c>
      <c r="L27" s="21"/>
      <c r="M27" s="20"/>
      <c r="N27" s="5"/>
      <c r="O27" s="5"/>
      <c r="P27" s="21"/>
    </row>
    <row r="28" spans="2:21" s="37" customFormat="1">
      <c r="B28" s="37" t="s">
        <v>51</v>
      </c>
      <c r="C28" s="37" t="s">
        <v>128</v>
      </c>
      <c r="D28" s="31" t="s">
        <v>115</v>
      </c>
      <c r="E28" s="48" t="s">
        <v>51</v>
      </c>
      <c r="F28" s="32">
        <v>300</v>
      </c>
      <c r="G28" s="34"/>
      <c r="H28" s="33"/>
      <c r="I28" s="33"/>
      <c r="J28" s="35"/>
      <c r="K28" s="32"/>
      <c r="L28" s="34">
        <v>100</v>
      </c>
      <c r="M28" s="32"/>
      <c r="N28" s="39" t="s">
        <v>117</v>
      </c>
      <c r="O28" s="39" t="s">
        <v>118</v>
      </c>
      <c r="P28" s="34"/>
      <c r="Q28" s="38"/>
      <c r="R28" s="38"/>
      <c r="S28" s="38"/>
      <c r="T28" s="38"/>
      <c r="U28" s="38"/>
    </row>
    <row r="29" spans="2:21">
      <c r="D29" s="16" t="s">
        <v>153</v>
      </c>
      <c r="E29" s="27"/>
      <c r="F29" s="20">
        <v>100</v>
      </c>
      <c r="G29" s="21"/>
      <c r="H29" s="5"/>
      <c r="I29" s="5"/>
      <c r="J29" s="28">
        <v>100</v>
      </c>
      <c r="K29" s="20"/>
      <c r="L29" s="21">
        <v>100</v>
      </c>
      <c r="M29" s="20"/>
      <c r="N29" s="5"/>
      <c r="O29" s="5"/>
      <c r="P29" s="21"/>
    </row>
    <row r="30" spans="2:21">
      <c r="D30" s="16" t="s">
        <v>119</v>
      </c>
      <c r="E30" s="27"/>
      <c r="F30" s="20"/>
      <c r="G30" s="21"/>
      <c r="H30" s="5"/>
      <c r="I30" s="5"/>
      <c r="J30" s="28"/>
      <c r="K30" s="20"/>
      <c r="L30" s="21"/>
      <c r="M30" s="20"/>
      <c r="N30" s="5"/>
      <c r="O30" s="5"/>
      <c r="P30" s="21"/>
    </row>
    <row r="31" spans="2:21">
      <c r="D31" s="16" t="s">
        <v>120</v>
      </c>
      <c r="E31" s="27"/>
      <c r="F31" s="20"/>
      <c r="G31" s="21"/>
      <c r="H31" s="5"/>
      <c r="I31" s="5"/>
      <c r="J31" s="28"/>
      <c r="K31" s="20"/>
      <c r="L31" s="21"/>
      <c r="M31" s="20"/>
      <c r="N31" s="5"/>
      <c r="O31" s="5"/>
      <c r="P31" s="21"/>
    </row>
    <row r="32" spans="2:21">
      <c r="D32" s="16" t="s">
        <v>124</v>
      </c>
      <c r="E32" s="27"/>
      <c r="F32" s="20"/>
      <c r="G32" s="21"/>
      <c r="H32" s="5"/>
      <c r="I32" s="5"/>
      <c r="J32" s="28"/>
      <c r="K32" s="20"/>
      <c r="L32" s="21"/>
      <c r="M32" s="20"/>
      <c r="N32" s="5"/>
      <c r="O32" s="5"/>
      <c r="P32" s="21"/>
    </row>
    <row r="33" spans="1:16">
      <c r="D33" s="16"/>
      <c r="E33" s="27"/>
      <c r="F33" s="20"/>
      <c r="G33" s="21"/>
      <c r="H33" s="5"/>
      <c r="I33" s="5"/>
      <c r="J33" s="28"/>
      <c r="K33" s="20"/>
      <c r="L33" s="21"/>
      <c r="M33" s="20"/>
      <c r="N33" s="5"/>
      <c r="O33" s="5"/>
      <c r="P33" s="21"/>
    </row>
    <row r="34" spans="1:16" ht="17.25" thickBot="1">
      <c r="D34" s="16"/>
      <c r="E34" s="27"/>
      <c r="F34" s="20"/>
      <c r="G34" s="21"/>
      <c r="H34" s="5"/>
      <c r="I34" s="5"/>
      <c r="J34" s="28"/>
      <c r="K34" s="20"/>
      <c r="L34" s="26"/>
      <c r="M34" s="24"/>
      <c r="N34" s="25"/>
      <c r="O34" s="25"/>
      <c r="P34" s="26"/>
    </row>
    <row r="35" spans="1:16" s="2" customFormat="1" ht="17.25" thickBot="1">
      <c r="A35"/>
      <c r="B35"/>
      <c r="C35"/>
      <c r="D35" s="16"/>
      <c r="E35" s="49"/>
      <c r="F35" s="24"/>
      <c r="G35" s="26"/>
      <c r="H35" s="25"/>
      <c r="I35" s="25"/>
      <c r="J35" s="28"/>
      <c r="K35" s="24"/>
      <c r="L35" s="2">
        <f>SUM(L4:L34)</f>
        <v>1150</v>
      </c>
    </row>
    <row r="36" spans="1:16">
      <c r="F36" s="2">
        <f t="shared" ref="F36:K36" si="0">SUM(F4:F35)</f>
        <v>3650</v>
      </c>
      <c r="G36" s="2">
        <f t="shared" si="0"/>
        <v>850</v>
      </c>
      <c r="H36" s="2">
        <f t="shared" si="0"/>
        <v>200</v>
      </c>
      <c r="I36" s="2">
        <f t="shared" si="0"/>
        <v>600</v>
      </c>
      <c r="J36" s="2">
        <f t="shared" si="0"/>
        <v>1000</v>
      </c>
      <c r="K36" s="2">
        <f t="shared" si="0"/>
        <v>650</v>
      </c>
    </row>
    <row r="37" spans="1:16" s="2" customFormat="1">
      <c r="A37"/>
      <c r="B37"/>
      <c r="C37"/>
      <c r="D37" s="15"/>
      <c r="E37" s="15"/>
    </row>
    <row r="38" spans="1:16" s="2" customFormat="1">
      <c r="A38"/>
      <c r="B38"/>
      <c r="C38"/>
      <c r="D38" s="15" t="s">
        <v>125</v>
      </c>
      <c r="E38" s="15">
        <v>64680</v>
      </c>
      <c r="F38" s="2">
        <f>E38/1.1</f>
        <v>58799.999999999993</v>
      </c>
      <c r="G38" s="40"/>
    </row>
    <row r="39" spans="1:16">
      <c r="D39" s="15" t="s">
        <v>130</v>
      </c>
      <c r="G39" s="40"/>
    </row>
    <row r="41" spans="1:16" s="2" customFormat="1">
      <c r="A41"/>
      <c r="B41"/>
      <c r="C41"/>
      <c r="D41" s="15"/>
      <c r="E41" s="15"/>
    </row>
    <row r="42" spans="1:16" s="2" customFormat="1">
      <c r="A42"/>
      <c r="B42"/>
      <c r="C42"/>
      <c r="D42" s="15" t="s">
        <v>134</v>
      </c>
      <c r="E42" s="15"/>
    </row>
    <row r="43" spans="1:16" s="2" customFormat="1">
      <c r="A43"/>
      <c r="B43"/>
      <c r="C43"/>
      <c r="D43" s="15" t="s">
        <v>135</v>
      </c>
      <c r="E43" s="15"/>
    </row>
    <row r="44" spans="1:16" s="2" customFormat="1">
      <c r="A44"/>
      <c r="B44"/>
      <c r="C44"/>
      <c r="D44" s="15"/>
      <c r="E44" s="15"/>
      <c r="F44" s="40"/>
    </row>
    <row r="45" spans="1:16" s="2" customFormat="1">
      <c r="A45"/>
      <c r="B45"/>
      <c r="C45"/>
      <c r="D45" s="15" t="s">
        <v>136</v>
      </c>
      <c r="E45" s="15"/>
    </row>
    <row r="46" spans="1:16">
      <c r="F46" s="41"/>
    </row>
    <row r="47" spans="1:16" s="2" customFormat="1">
      <c r="A47"/>
      <c r="B47"/>
      <c r="C47"/>
      <c r="D47" s="15"/>
      <c r="E47" s="15"/>
    </row>
    <row r="48" spans="1:16" s="2" customFormat="1">
      <c r="A48"/>
      <c r="B48"/>
      <c r="C48"/>
      <c r="D48" s="15" t="s">
        <v>133</v>
      </c>
      <c r="E48" s="15"/>
    </row>
    <row r="49" spans="1:6" s="2" customFormat="1">
      <c r="A49"/>
      <c r="B49"/>
      <c r="C49"/>
      <c r="D49" s="15" t="s">
        <v>131</v>
      </c>
      <c r="E49" s="15"/>
    </row>
    <row r="50" spans="1:6" s="2" customFormat="1">
      <c r="A50"/>
      <c r="B50"/>
      <c r="C50"/>
      <c r="D50" s="15" t="s">
        <v>132</v>
      </c>
      <c r="E50" s="15"/>
    </row>
    <row r="51" spans="1:6">
      <c r="F51" s="4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2126-6A70-4AC2-91F9-BF43328C7F07}">
  <dimension ref="A3:P49"/>
  <sheetViews>
    <sheetView topLeftCell="B23" zoomScaleNormal="100" workbookViewId="0">
      <selection activeCell="C7" sqref="C7"/>
    </sheetView>
  </sheetViews>
  <sheetFormatPr defaultRowHeight="16.5"/>
  <cols>
    <col min="2" max="2" width="15.875" bestFit="1" customWidth="1"/>
    <col min="3" max="3" width="15.875" customWidth="1"/>
    <col min="4" max="4" width="12.375" bestFit="1" customWidth="1"/>
  </cols>
  <sheetData>
    <row r="3" spans="1:12">
      <c r="C3" t="s">
        <v>159</v>
      </c>
      <c r="D3" t="s">
        <v>12</v>
      </c>
      <c r="E3" t="s">
        <v>13</v>
      </c>
      <c r="F3" t="s">
        <v>74</v>
      </c>
      <c r="G3" t="s">
        <v>144</v>
      </c>
      <c r="H3" t="s">
        <v>11</v>
      </c>
      <c r="I3" t="s">
        <v>26</v>
      </c>
      <c r="J3" t="s">
        <v>145</v>
      </c>
      <c r="K3" t="s">
        <v>54</v>
      </c>
      <c r="L3" t="s">
        <v>53</v>
      </c>
    </row>
    <row r="4" spans="1:12">
      <c r="B4" s="1" t="s">
        <v>10</v>
      </c>
      <c r="C4" s="1" t="s">
        <v>51</v>
      </c>
      <c r="D4">
        <v>600</v>
      </c>
      <c r="E4">
        <v>400</v>
      </c>
      <c r="H4">
        <v>200</v>
      </c>
    </row>
    <row r="5" spans="1:12">
      <c r="B5" t="s">
        <v>0</v>
      </c>
      <c r="D5">
        <v>200</v>
      </c>
      <c r="E5">
        <v>200</v>
      </c>
      <c r="G5">
        <v>150</v>
      </c>
      <c r="H5">
        <v>100</v>
      </c>
      <c r="I5">
        <v>100</v>
      </c>
      <c r="J5">
        <v>100</v>
      </c>
    </row>
    <row r="6" spans="1:12">
      <c r="B6" t="s">
        <v>1</v>
      </c>
      <c r="C6" s="3" t="s">
        <v>51</v>
      </c>
      <c r="D6">
        <v>300</v>
      </c>
      <c r="E6">
        <v>100</v>
      </c>
      <c r="H6">
        <v>100</v>
      </c>
      <c r="I6">
        <v>200</v>
      </c>
    </row>
    <row r="7" spans="1:12">
      <c r="A7" t="s">
        <v>158</v>
      </c>
      <c r="B7" s="1" t="s">
        <v>58</v>
      </c>
      <c r="C7" s="1"/>
      <c r="D7" s="3">
        <v>200</v>
      </c>
      <c r="E7">
        <v>200</v>
      </c>
      <c r="H7">
        <v>100</v>
      </c>
      <c r="J7">
        <v>100</v>
      </c>
    </row>
    <row r="8" spans="1:12">
      <c r="A8" t="s">
        <v>158</v>
      </c>
      <c r="B8" s="1" t="s">
        <v>59</v>
      </c>
      <c r="C8" s="1"/>
      <c r="D8">
        <v>200</v>
      </c>
      <c r="E8">
        <v>200</v>
      </c>
      <c r="H8">
        <v>100</v>
      </c>
      <c r="J8">
        <v>100</v>
      </c>
    </row>
    <row r="9" spans="1:12">
      <c r="A9" t="s">
        <v>158</v>
      </c>
      <c r="B9" s="1" t="s">
        <v>9</v>
      </c>
      <c r="C9" s="1" t="s">
        <v>51</v>
      </c>
      <c r="D9">
        <v>300</v>
      </c>
      <c r="E9">
        <v>100</v>
      </c>
      <c r="H9">
        <v>100</v>
      </c>
      <c r="I9">
        <v>100</v>
      </c>
    </row>
    <row r="10" spans="1:12">
      <c r="B10" s="1" t="s">
        <v>55</v>
      </c>
      <c r="C10" s="1"/>
      <c r="D10" t="s">
        <v>139</v>
      </c>
      <c r="I10" s="3"/>
      <c r="J10" s="3"/>
    </row>
    <row r="11" spans="1:12">
      <c r="B11" s="1" t="s">
        <v>5</v>
      </c>
      <c r="C11" s="1" t="s">
        <v>51</v>
      </c>
      <c r="D11">
        <v>100</v>
      </c>
    </row>
    <row r="12" spans="1:12">
      <c r="B12" t="s">
        <v>6</v>
      </c>
      <c r="C12" t="s">
        <v>51</v>
      </c>
      <c r="D12">
        <v>200</v>
      </c>
    </row>
    <row r="13" spans="1:12">
      <c r="B13" t="s">
        <v>18</v>
      </c>
      <c r="C13" s="1" t="s">
        <v>51</v>
      </c>
      <c r="G13">
        <v>150</v>
      </c>
      <c r="J13">
        <v>50</v>
      </c>
    </row>
    <row r="14" spans="1:12">
      <c r="B14" s="1" t="s">
        <v>140</v>
      </c>
      <c r="C14" s="1" t="s">
        <v>51</v>
      </c>
      <c r="D14">
        <v>150</v>
      </c>
      <c r="J14" t="s">
        <v>143</v>
      </c>
    </row>
    <row r="15" spans="1:12">
      <c r="B15" s="1" t="s">
        <v>141</v>
      </c>
      <c r="C15" s="1" t="s">
        <v>51</v>
      </c>
      <c r="D15">
        <v>150</v>
      </c>
      <c r="J15" t="s">
        <v>142</v>
      </c>
    </row>
    <row r="16" spans="1:12">
      <c r="B16" s="11" t="s">
        <v>8</v>
      </c>
      <c r="C16" s="11"/>
      <c r="D16">
        <v>100</v>
      </c>
      <c r="I16">
        <v>50</v>
      </c>
    </row>
    <row r="17" spans="1:16">
      <c r="B17" s="11"/>
      <c r="C17" s="11"/>
    </row>
    <row r="18" spans="1:16">
      <c r="B18" s="1" t="s">
        <v>98</v>
      </c>
      <c r="C18" s="1" t="s">
        <v>51</v>
      </c>
      <c r="D18">
        <v>300</v>
      </c>
      <c r="J18">
        <v>100</v>
      </c>
      <c r="L18">
        <v>15</v>
      </c>
      <c r="M18">
        <f>L18*7</f>
        <v>105</v>
      </c>
      <c r="N18">
        <f>M18/2</f>
        <v>52.5</v>
      </c>
      <c r="O18">
        <f>N18/7</f>
        <v>7.5</v>
      </c>
      <c r="P18" t="s">
        <v>108</v>
      </c>
    </row>
    <row r="19" spans="1:16">
      <c r="B19" t="s">
        <v>99</v>
      </c>
      <c r="C19" s="1" t="s">
        <v>51</v>
      </c>
      <c r="D19">
        <v>200</v>
      </c>
      <c r="J19">
        <v>100</v>
      </c>
      <c r="L19">
        <v>10</v>
      </c>
      <c r="M19">
        <f>L19*7</f>
        <v>70</v>
      </c>
      <c r="N19">
        <f>M19/2</f>
        <v>35</v>
      </c>
      <c r="O19">
        <f>N19/7</f>
        <v>5</v>
      </c>
      <c r="P19" t="s">
        <v>107</v>
      </c>
    </row>
    <row r="20" spans="1:16">
      <c r="B20" t="s">
        <v>100</v>
      </c>
      <c r="C20" t="s">
        <v>51</v>
      </c>
      <c r="D20">
        <v>150</v>
      </c>
      <c r="J20">
        <v>100</v>
      </c>
      <c r="L20">
        <v>5</v>
      </c>
      <c r="M20">
        <f>L20*7</f>
        <v>35</v>
      </c>
      <c r="N20">
        <f>M20/2</f>
        <v>17.5</v>
      </c>
      <c r="O20">
        <f>N20/7</f>
        <v>2.5</v>
      </c>
      <c r="P20" t="s">
        <v>106</v>
      </c>
    </row>
    <row r="21" spans="1:16">
      <c r="B21" t="s">
        <v>101</v>
      </c>
      <c r="C21" t="s">
        <v>51</v>
      </c>
      <c r="D21">
        <v>200</v>
      </c>
      <c r="J21">
        <v>100</v>
      </c>
      <c r="L21">
        <v>10</v>
      </c>
      <c r="M21">
        <f>L21*7</f>
        <v>70</v>
      </c>
      <c r="N21">
        <f>M21/2</f>
        <v>35</v>
      </c>
      <c r="O21">
        <f>N21/7</f>
        <v>5</v>
      </c>
      <c r="P21" t="s">
        <v>109</v>
      </c>
    </row>
    <row r="22" spans="1:16">
      <c r="B22" t="s">
        <v>102</v>
      </c>
      <c r="C22" t="s">
        <v>51</v>
      </c>
      <c r="D22">
        <v>200</v>
      </c>
      <c r="J22">
        <v>100</v>
      </c>
      <c r="L22">
        <v>5</v>
      </c>
      <c r="M22">
        <f>L22*7</f>
        <v>35</v>
      </c>
      <c r="N22">
        <f>M22/2</f>
        <v>17.5</v>
      </c>
      <c r="O22">
        <f>N22/7</f>
        <v>2.5</v>
      </c>
      <c r="P22" t="s">
        <v>110</v>
      </c>
    </row>
    <row r="24" spans="1:16">
      <c r="A24" t="s">
        <v>158</v>
      </c>
      <c r="B24" t="s">
        <v>146</v>
      </c>
      <c r="G24">
        <v>150</v>
      </c>
      <c r="J24">
        <v>50</v>
      </c>
    </row>
    <row r="26" spans="1:16">
      <c r="B26" t="s">
        <v>79</v>
      </c>
      <c r="K26" t="s">
        <v>62</v>
      </c>
    </row>
    <row r="27" spans="1:16">
      <c r="B27" s="1" t="s">
        <v>94</v>
      </c>
      <c r="C27" s="1"/>
    </row>
    <row r="28" spans="1:16">
      <c r="B28" s="1" t="s">
        <v>49</v>
      </c>
      <c r="C28" s="1"/>
      <c r="K28">
        <v>600</v>
      </c>
    </row>
    <row r="29" spans="1:16">
      <c r="B29" t="s">
        <v>56</v>
      </c>
    </row>
    <row r="30" spans="1:16">
      <c r="B30" s="1" t="s">
        <v>96</v>
      </c>
      <c r="C30" s="1"/>
    </row>
    <row r="31" spans="1:16">
      <c r="B31" s="1" t="s">
        <v>91</v>
      </c>
      <c r="C31" s="1"/>
      <c r="D31" s="10"/>
    </row>
    <row r="33" spans="2:8">
      <c r="B33" t="s">
        <v>56</v>
      </c>
    </row>
    <row r="34" spans="2:8">
      <c r="B34" t="s">
        <v>57</v>
      </c>
    </row>
    <row r="35" spans="2:8" ht="15.75" customHeight="1">
      <c r="B35" t="s">
        <v>7</v>
      </c>
    </row>
    <row r="36" spans="2:8">
      <c r="B36" t="s">
        <v>2</v>
      </c>
      <c r="E36" s="3"/>
      <c r="F36" s="3"/>
      <c r="G36" s="3"/>
    </row>
    <row r="38" spans="2:8">
      <c r="B38" s="1"/>
      <c r="C38" s="1"/>
      <c r="D38" s="1"/>
      <c r="H38" s="1"/>
    </row>
    <row r="39" spans="2:8" ht="15.75" customHeight="1"/>
    <row r="42" spans="2:8">
      <c r="B42" s="7">
        <v>3360520</v>
      </c>
      <c r="C42" s="7"/>
    </row>
    <row r="44" spans="2:8">
      <c r="B44" t="s">
        <v>103</v>
      </c>
      <c r="D44">
        <v>1244435</v>
      </c>
    </row>
    <row r="45" spans="2:8">
      <c r="B45" t="s">
        <v>105</v>
      </c>
      <c r="D45">
        <v>460960</v>
      </c>
    </row>
    <row r="46" spans="2:8">
      <c r="B46" t="s">
        <v>104</v>
      </c>
      <c r="D46">
        <v>579500</v>
      </c>
    </row>
    <row r="47" spans="2:8">
      <c r="D47" s="7">
        <f>SUM(D44:D46)</f>
        <v>2284895</v>
      </c>
    </row>
    <row r="49" spans="2:3">
      <c r="B49" s="12">
        <f>B42-D47</f>
        <v>1075625</v>
      </c>
      <c r="C49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E9C7-6E07-4236-9F55-1D497221B9C6}">
  <dimension ref="A2:T52"/>
  <sheetViews>
    <sheetView zoomScaleNormal="100" workbookViewId="0">
      <selection activeCell="A23" sqref="A23:XFD23"/>
    </sheetView>
  </sheetViews>
  <sheetFormatPr defaultRowHeight="16.5"/>
  <cols>
    <col min="4" max="4" width="15.125" style="15" bestFit="1" customWidth="1"/>
    <col min="5" max="5" width="14" style="2" bestFit="1" customWidth="1"/>
    <col min="6" max="7" width="9" style="2"/>
    <col min="8" max="8" width="10.875" style="2" bestFit="1" customWidth="1"/>
    <col min="9" max="9" width="9" style="2"/>
    <col min="10" max="10" width="10.375" style="2" customWidth="1"/>
    <col min="11" max="11" width="9.875" style="2" customWidth="1"/>
    <col min="12" max="20" width="9" style="2"/>
  </cols>
  <sheetData>
    <row r="2" spans="1:20" ht="17.25" thickBot="1"/>
    <row r="3" spans="1:20" s="13" customFormat="1" ht="23.25" customHeight="1">
      <c r="A3" s="13" t="s">
        <v>46</v>
      </c>
      <c r="D3" s="16"/>
      <c r="E3" s="17" t="s">
        <v>75</v>
      </c>
      <c r="F3" s="18" t="s">
        <v>72</v>
      </c>
      <c r="G3" s="18" t="s">
        <v>74</v>
      </c>
      <c r="H3" s="19" t="s">
        <v>114</v>
      </c>
      <c r="I3" s="27" t="s">
        <v>11</v>
      </c>
      <c r="J3" s="17" t="s">
        <v>112</v>
      </c>
      <c r="K3" s="19" t="s">
        <v>121</v>
      </c>
      <c r="L3" s="17" t="s">
        <v>54</v>
      </c>
      <c r="M3" s="18" t="s">
        <v>116</v>
      </c>
      <c r="N3" s="18">
        <v>247</v>
      </c>
      <c r="O3" s="19" t="s">
        <v>151</v>
      </c>
      <c r="P3" s="15"/>
      <c r="Q3" s="15"/>
      <c r="R3" s="15"/>
      <c r="S3" s="15"/>
      <c r="T3" s="15"/>
    </row>
    <row r="4" spans="1:20">
      <c r="B4" t="s">
        <v>51</v>
      </c>
      <c r="D4" s="16" t="s">
        <v>27</v>
      </c>
      <c r="E4" s="20">
        <v>300</v>
      </c>
      <c r="F4" s="5"/>
      <c r="G4" s="5"/>
      <c r="H4" s="21"/>
      <c r="I4" s="28">
        <v>100</v>
      </c>
      <c r="J4" s="20">
        <v>100</v>
      </c>
      <c r="K4" s="21"/>
      <c r="L4" s="20" t="s">
        <v>137</v>
      </c>
      <c r="M4" s="5"/>
      <c r="N4" s="5"/>
      <c r="O4" s="21"/>
    </row>
    <row r="5" spans="1:20">
      <c r="B5" t="s">
        <v>51</v>
      </c>
      <c r="D5" s="31" t="s">
        <v>28</v>
      </c>
      <c r="E5" s="32"/>
      <c r="F5" s="33"/>
      <c r="G5" s="33"/>
      <c r="H5" s="34">
        <v>200</v>
      </c>
      <c r="I5" s="35">
        <v>100</v>
      </c>
      <c r="J5" s="32">
        <v>100</v>
      </c>
      <c r="K5" s="34"/>
      <c r="L5" s="36"/>
      <c r="M5" s="33"/>
      <c r="N5" s="33"/>
      <c r="O5" s="34"/>
    </row>
    <row r="6" spans="1:20">
      <c r="B6" t="s">
        <v>51</v>
      </c>
      <c r="D6" s="16" t="s">
        <v>29</v>
      </c>
      <c r="E6" s="20"/>
      <c r="F6" s="5"/>
      <c r="G6" s="5">
        <v>300</v>
      </c>
      <c r="H6" s="21"/>
      <c r="I6" s="28">
        <v>100</v>
      </c>
      <c r="J6" s="20">
        <v>100</v>
      </c>
      <c r="K6" s="21"/>
      <c r="L6" s="29"/>
      <c r="M6" s="5"/>
      <c r="N6" s="5"/>
      <c r="O6" s="21"/>
    </row>
    <row r="7" spans="1:20" s="37" customFormat="1">
      <c r="B7" s="37" t="s">
        <v>51</v>
      </c>
      <c r="D7" s="31" t="s">
        <v>30</v>
      </c>
      <c r="E7" s="32"/>
      <c r="F7" s="33"/>
      <c r="G7" s="33"/>
      <c r="H7" s="34">
        <v>300</v>
      </c>
      <c r="I7" s="35">
        <v>100</v>
      </c>
      <c r="J7" s="32"/>
      <c r="K7" s="34">
        <v>100</v>
      </c>
      <c r="L7" s="36" t="s">
        <v>62</v>
      </c>
      <c r="M7" s="33"/>
      <c r="N7" s="33"/>
      <c r="O7" s="34"/>
      <c r="P7" s="38"/>
      <c r="Q7" s="38"/>
      <c r="R7" s="38"/>
      <c r="S7" s="38"/>
      <c r="T7" s="38"/>
    </row>
    <row r="8" spans="1:20">
      <c r="B8" t="s">
        <v>51</v>
      </c>
      <c r="C8" s="37" t="s">
        <v>128</v>
      </c>
      <c r="D8" s="16" t="s">
        <v>31</v>
      </c>
      <c r="E8" s="20">
        <v>300</v>
      </c>
      <c r="F8" s="5"/>
      <c r="G8" s="5"/>
      <c r="H8" s="21"/>
      <c r="I8" s="28">
        <v>100</v>
      </c>
      <c r="J8" s="20"/>
      <c r="K8" s="21">
        <v>100</v>
      </c>
      <c r="L8" s="29"/>
      <c r="M8" s="5"/>
      <c r="N8" s="5"/>
      <c r="O8" s="21"/>
    </row>
    <row r="9" spans="1:20">
      <c r="D9" s="16"/>
      <c r="E9" s="20"/>
      <c r="F9" s="5"/>
      <c r="G9" s="5"/>
      <c r="H9" s="21"/>
      <c r="I9" s="28"/>
      <c r="J9" s="20"/>
      <c r="K9" s="21"/>
      <c r="L9" s="29"/>
      <c r="M9" s="5"/>
      <c r="N9" s="5"/>
      <c r="O9" s="21"/>
    </row>
    <row r="10" spans="1:20">
      <c r="A10" s="13" t="s">
        <v>32</v>
      </c>
      <c r="B10" s="13" t="s">
        <v>51</v>
      </c>
      <c r="C10" s="13"/>
      <c r="D10" s="16" t="s">
        <v>33</v>
      </c>
      <c r="E10" s="20">
        <v>200</v>
      </c>
      <c r="F10" s="5">
        <v>200</v>
      </c>
      <c r="G10" s="5"/>
      <c r="H10" s="21"/>
      <c r="I10" s="28">
        <v>100</v>
      </c>
      <c r="J10" s="20">
        <v>100</v>
      </c>
      <c r="K10" s="21"/>
      <c r="L10" s="29"/>
      <c r="M10" s="5"/>
      <c r="N10" s="5"/>
      <c r="O10" s="21"/>
    </row>
    <row r="11" spans="1:20" s="37" customFormat="1">
      <c r="B11" s="37" t="s">
        <v>51</v>
      </c>
      <c r="D11" s="31" t="s">
        <v>34</v>
      </c>
      <c r="E11" s="32">
        <v>400</v>
      </c>
      <c r="F11" s="33"/>
      <c r="G11" s="33"/>
      <c r="H11" s="34"/>
      <c r="I11" s="35">
        <v>100</v>
      </c>
      <c r="J11" s="32">
        <v>100</v>
      </c>
      <c r="K11" s="34"/>
      <c r="L11" s="36"/>
      <c r="M11" s="33"/>
      <c r="N11" s="33"/>
      <c r="O11" s="34"/>
      <c r="P11" s="38"/>
      <c r="Q11" s="38"/>
      <c r="R11" s="38"/>
      <c r="S11" s="38"/>
      <c r="T11" s="38"/>
    </row>
    <row r="12" spans="1:20">
      <c r="B12" t="s">
        <v>51</v>
      </c>
      <c r="D12" s="16" t="s">
        <v>70</v>
      </c>
      <c r="E12" s="20">
        <v>100</v>
      </c>
      <c r="F12" s="5"/>
      <c r="G12" s="5"/>
      <c r="H12" s="21"/>
      <c r="I12" s="28"/>
      <c r="J12" s="20"/>
      <c r="K12" s="21">
        <v>100</v>
      </c>
      <c r="L12" s="29"/>
      <c r="M12" s="5"/>
      <c r="N12" s="5"/>
      <c r="O12" s="21"/>
    </row>
    <row r="13" spans="1:20">
      <c r="D13" s="14" t="s">
        <v>126</v>
      </c>
      <c r="H13" s="23"/>
      <c r="J13" s="22"/>
      <c r="K13" s="23"/>
      <c r="L13" s="30"/>
      <c r="M13" s="15" t="s">
        <v>127</v>
      </c>
      <c r="O13" s="23"/>
    </row>
    <row r="14" spans="1:20">
      <c r="D14" s="16"/>
      <c r="H14" s="23"/>
      <c r="J14" s="22"/>
      <c r="K14" s="23"/>
      <c r="L14" s="30"/>
      <c r="M14" s="15"/>
      <c r="O14" s="23"/>
    </row>
    <row r="15" spans="1:20">
      <c r="D15" s="16"/>
      <c r="H15" s="23"/>
      <c r="J15" s="22"/>
      <c r="K15" s="23"/>
      <c r="L15" s="30"/>
      <c r="M15" s="15"/>
      <c r="O15" s="23"/>
    </row>
    <row r="16" spans="1:20">
      <c r="D16" s="16"/>
      <c r="H16" s="23"/>
      <c r="J16" s="22"/>
      <c r="K16" s="23"/>
      <c r="L16" s="30"/>
      <c r="M16" s="15"/>
      <c r="O16" s="23"/>
    </row>
    <row r="17" spans="2:20">
      <c r="B17" t="s">
        <v>51</v>
      </c>
      <c r="D17" s="16" t="s">
        <v>138</v>
      </c>
      <c r="E17" s="20">
        <v>100</v>
      </c>
      <c r="F17" s="5"/>
      <c r="G17" s="5"/>
      <c r="H17" s="21"/>
      <c r="I17" s="28">
        <v>100</v>
      </c>
      <c r="J17" s="20"/>
      <c r="K17" s="21">
        <v>50</v>
      </c>
      <c r="L17" s="29" t="s">
        <v>62</v>
      </c>
      <c r="M17" s="5"/>
      <c r="N17" s="5"/>
      <c r="O17" s="21"/>
    </row>
    <row r="18" spans="2:20" s="37" customFormat="1">
      <c r="B18" s="37" t="s">
        <v>51</v>
      </c>
      <c r="D18" s="31" t="s">
        <v>36</v>
      </c>
      <c r="E18" s="32">
        <v>200</v>
      </c>
      <c r="F18" s="33"/>
      <c r="G18" s="33"/>
      <c r="H18" s="34">
        <v>200</v>
      </c>
      <c r="I18" s="35"/>
      <c r="J18" s="32"/>
      <c r="K18" s="34">
        <v>200</v>
      </c>
      <c r="L18" s="36"/>
      <c r="M18" s="33"/>
      <c r="N18" s="33"/>
      <c r="O18" s="34"/>
      <c r="P18" s="38"/>
      <c r="Q18" s="38"/>
      <c r="R18" s="38"/>
      <c r="S18" s="38"/>
      <c r="T18" s="38"/>
    </row>
    <row r="19" spans="2:20">
      <c r="B19" t="s">
        <v>51</v>
      </c>
      <c r="D19" s="16" t="s">
        <v>21</v>
      </c>
      <c r="E19" s="20"/>
      <c r="F19" s="5"/>
      <c r="G19" s="5">
        <v>300</v>
      </c>
      <c r="H19" s="21">
        <v>300</v>
      </c>
      <c r="I19" s="28">
        <v>100</v>
      </c>
      <c r="J19" s="20"/>
      <c r="K19" s="21">
        <v>150</v>
      </c>
      <c r="L19" s="43" t="s">
        <v>62</v>
      </c>
      <c r="M19" s="5"/>
      <c r="N19" s="5"/>
      <c r="O19" s="21"/>
    </row>
    <row r="20" spans="2:20" s="37" customFormat="1">
      <c r="D20" s="31" t="s">
        <v>37</v>
      </c>
      <c r="E20" s="32"/>
      <c r="F20" s="33"/>
      <c r="G20" s="33"/>
      <c r="H20" s="34">
        <v>100</v>
      </c>
      <c r="I20" s="35"/>
      <c r="J20" s="32"/>
      <c r="K20" s="34">
        <v>50</v>
      </c>
      <c r="L20" s="36" t="s">
        <v>129</v>
      </c>
      <c r="M20" s="33"/>
      <c r="N20" s="33"/>
      <c r="O20" s="34"/>
      <c r="P20" s="38"/>
      <c r="Q20" s="38"/>
      <c r="R20" s="38"/>
      <c r="S20" s="38"/>
      <c r="T20" s="38"/>
    </row>
    <row r="21" spans="2:20">
      <c r="D21" s="16"/>
      <c r="E21" s="20"/>
      <c r="F21" s="5"/>
      <c r="G21" s="5"/>
      <c r="H21" s="21"/>
      <c r="I21" s="28"/>
      <c r="J21" s="20"/>
      <c r="K21" s="21"/>
      <c r="L21" s="20"/>
      <c r="M21" s="5"/>
      <c r="N21" s="5"/>
      <c r="O21" s="21"/>
    </row>
    <row r="22" spans="2:20">
      <c r="D22" s="16"/>
      <c r="E22" s="20"/>
      <c r="F22" s="5"/>
      <c r="G22" s="5"/>
      <c r="H22" s="21"/>
      <c r="I22" s="28"/>
      <c r="J22" s="20"/>
      <c r="K22" s="21"/>
      <c r="L22" s="20"/>
      <c r="M22" s="5"/>
      <c r="N22" s="5"/>
      <c r="O22" s="21"/>
    </row>
    <row r="23" spans="2:20">
      <c r="D23" s="16"/>
      <c r="E23" s="20"/>
      <c r="F23" s="5"/>
      <c r="G23" s="5"/>
      <c r="H23" s="21"/>
      <c r="I23" s="28"/>
      <c r="J23" s="20"/>
      <c r="K23" s="21"/>
      <c r="L23" s="20"/>
      <c r="M23" s="5"/>
      <c r="N23" s="5"/>
      <c r="O23" s="21"/>
    </row>
    <row r="24" spans="2:20">
      <c r="D24" s="16" t="s">
        <v>39</v>
      </c>
      <c r="E24" s="20"/>
      <c r="F24" s="5"/>
      <c r="G24" s="5"/>
      <c r="H24" s="21"/>
      <c r="I24" s="28"/>
      <c r="J24" s="20"/>
      <c r="K24" s="21"/>
      <c r="L24" s="20"/>
      <c r="M24" s="5"/>
      <c r="N24" s="5"/>
      <c r="O24" s="21"/>
    </row>
    <row r="25" spans="2:20" s="37" customFormat="1">
      <c r="B25" s="37" t="s">
        <v>51</v>
      </c>
      <c r="D25" s="31" t="s">
        <v>47</v>
      </c>
      <c r="E25" s="32">
        <v>400</v>
      </c>
      <c r="F25" s="33"/>
      <c r="G25" s="33"/>
      <c r="H25" s="34"/>
      <c r="I25" s="35">
        <v>100</v>
      </c>
      <c r="J25" s="32">
        <v>200</v>
      </c>
      <c r="K25" s="34"/>
      <c r="L25" s="32"/>
      <c r="M25" s="33"/>
      <c r="N25" s="33"/>
      <c r="O25" s="34"/>
      <c r="P25" s="38"/>
      <c r="Q25" s="38"/>
      <c r="R25" s="38"/>
      <c r="S25" s="38"/>
      <c r="T25" s="38"/>
    </row>
    <row r="26" spans="2:20">
      <c r="D26" s="16" t="s">
        <v>41</v>
      </c>
      <c r="E26" s="20">
        <v>300</v>
      </c>
      <c r="F26" s="5"/>
      <c r="G26" s="5"/>
      <c r="H26" s="21"/>
      <c r="I26" s="28"/>
      <c r="J26" s="20"/>
      <c r="K26" s="21"/>
      <c r="L26" s="20"/>
      <c r="M26" s="5"/>
      <c r="N26" s="5"/>
      <c r="O26" s="21"/>
    </row>
    <row r="27" spans="2:20" s="37" customFormat="1">
      <c r="B27" s="37" t="s">
        <v>51</v>
      </c>
      <c r="D27" s="31" t="s">
        <v>35</v>
      </c>
      <c r="E27" s="32">
        <v>200</v>
      </c>
      <c r="F27" s="33"/>
      <c r="G27" s="33"/>
      <c r="H27" s="34"/>
      <c r="I27" s="35"/>
      <c r="J27" s="32"/>
      <c r="K27" s="34"/>
      <c r="L27" s="32"/>
      <c r="M27" s="33"/>
      <c r="N27" s="33"/>
      <c r="O27" s="34"/>
      <c r="P27" s="38"/>
      <c r="Q27" s="38"/>
      <c r="R27" s="38"/>
      <c r="S27" s="38"/>
      <c r="T27" s="38"/>
    </row>
    <row r="28" spans="2:20">
      <c r="B28" t="s">
        <v>51</v>
      </c>
      <c r="D28" s="16" t="s">
        <v>73</v>
      </c>
      <c r="E28" s="20">
        <v>100</v>
      </c>
      <c r="F28" s="5"/>
      <c r="G28" s="5"/>
      <c r="H28" s="21"/>
      <c r="I28" s="28"/>
      <c r="J28" s="20">
        <v>50</v>
      </c>
      <c r="K28" s="21"/>
      <c r="L28" s="20"/>
      <c r="M28" s="5"/>
      <c r="N28" s="5"/>
      <c r="O28" s="21"/>
    </row>
    <row r="29" spans="2:20" s="37" customFormat="1">
      <c r="B29" s="37" t="s">
        <v>51</v>
      </c>
      <c r="C29" s="37" t="s">
        <v>128</v>
      </c>
      <c r="D29" s="31" t="s">
        <v>115</v>
      </c>
      <c r="E29" s="32">
        <v>300</v>
      </c>
      <c r="F29" s="33"/>
      <c r="G29" s="33"/>
      <c r="H29" s="34"/>
      <c r="I29" s="35"/>
      <c r="J29" s="32"/>
      <c r="K29" s="34">
        <v>100</v>
      </c>
      <c r="L29" s="32"/>
      <c r="M29" s="39" t="s">
        <v>117</v>
      </c>
      <c r="N29" s="33" t="s">
        <v>118</v>
      </c>
      <c r="O29" s="34"/>
      <c r="P29" s="38"/>
      <c r="Q29" s="38"/>
      <c r="R29" s="38"/>
      <c r="S29" s="38"/>
      <c r="T29" s="38"/>
    </row>
    <row r="30" spans="2:20">
      <c r="D30" s="16"/>
      <c r="E30" s="20"/>
      <c r="F30" s="5"/>
      <c r="G30" s="5"/>
      <c r="H30" s="21"/>
      <c r="I30" s="28"/>
      <c r="J30" s="20"/>
      <c r="K30" s="21"/>
      <c r="L30" s="20"/>
      <c r="M30" s="5"/>
      <c r="N30" s="5"/>
      <c r="O30" s="21"/>
    </row>
    <row r="31" spans="2:20">
      <c r="D31" s="16" t="s">
        <v>119</v>
      </c>
      <c r="E31" s="20">
        <v>100</v>
      </c>
      <c r="F31" s="5">
        <v>100</v>
      </c>
      <c r="G31" s="5"/>
      <c r="H31" s="21">
        <v>100</v>
      </c>
      <c r="I31" s="28"/>
      <c r="J31" s="20"/>
      <c r="K31" s="21">
        <v>50</v>
      </c>
      <c r="L31" s="20"/>
      <c r="M31" s="5"/>
      <c r="N31" s="5" t="s">
        <v>122</v>
      </c>
      <c r="O31" s="21"/>
    </row>
    <row r="32" spans="2:20">
      <c r="D32" s="16" t="s">
        <v>120</v>
      </c>
      <c r="E32" s="20">
        <v>100</v>
      </c>
      <c r="F32" s="5">
        <v>100</v>
      </c>
      <c r="G32" s="5"/>
      <c r="H32" s="21">
        <v>100</v>
      </c>
      <c r="I32" s="28"/>
      <c r="J32" s="20"/>
      <c r="K32" s="21">
        <v>50</v>
      </c>
      <c r="L32" s="20"/>
      <c r="M32" s="5"/>
      <c r="N32" s="5" t="s">
        <v>123</v>
      </c>
      <c r="O32" s="21"/>
    </row>
    <row r="33" spans="4:15">
      <c r="D33" s="16" t="s">
        <v>124</v>
      </c>
      <c r="E33" s="20"/>
      <c r="F33" s="5"/>
      <c r="G33" s="5"/>
      <c r="H33" s="21">
        <v>100</v>
      </c>
      <c r="I33" s="28"/>
      <c r="J33" s="20"/>
      <c r="K33" s="21">
        <v>50</v>
      </c>
      <c r="L33" s="20"/>
      <c r="M33" s="5"/>
      <c r="N33" s="5"/>
      <c r="O33" s="21"/>
    </row>
    <row r="34" spans="4:15">
      <c r="D34" s="16"/>
      <c r="E34" s="20"/>
      <c r="F34" s="5"/>
      <c r="G34" s="5"/>
      <c r="H34" s="21"/>
      <c r="I34" s="28"/>
      <c r="J34" s="20"/>
      <c r="K34" s="21"/>
      <c r="L34" s="20"/>
      <c r="M34" s="5"/>
      <c r="N34" s="5"/>
      <c r="O34" s="21"/>
    </row>
    <row r="35" spans="4:15">
      <c r="D35" s="16" t="s">
        <v>152</v>
      </c>
      <c r="E35" s="20"/>
      <c r="F35" s="5"/>
      <c r="G35" s="5"/>
      <c r="H35" s="21"/>
      <c r="I35" s="28"/>
      <c r="J35" s="20"/>
      <c r="K35" s="21"/>
      <c r="L35" s="20"/>
      <c r="M35" s="5"/>
      <c r="N35" s="5"/>
      <c r="O35" s="21"/>
    </row>
    <row r="36" spans="4:15" ht="17.25" thickBot="1">
      <c r="D36" s="16"/>
      <c r="E36" s="24"/>
      <c r="F36" s="25"/>
      <c r="G36" s="25"/>
      <c r="H36" s="26"/>
      <c r="I36" s="28"/>
      <c r="J36" s="24"/>
      <c r="K36" s="26"/>
      <c r="L36" s="24"/>
      <c r="M36" s="25"/>
      <c r="N36" s="25"/>
      <c r="O36" s="26"/>
    </row>
    <row r="37" spans="4:15">
      <c r="E37" s="2">
        <f t="shared" ref="E37:K37" si="0">SUM(E4:E36)</f>
        <v>3100</v>
      </c>
      <c r="F37" s="2">
        <f t="shared" si="0"/>
        <v>400</v>
      </c>
      <c r="G37" s="2">
        <f t="shared" si="0"/>
        <v>600</v>
      </c>
      <c r="H37" s="2">
        <f t="shared" si="0"/>
        <v>1400</v>
      </c>
      <c r="I37" s="2">
        <f t="shared" si="0"/>
        <v>1000</v>
      </c>
      <c r="J37" s="2">
        <f t="shared" si="0"/>
        <v>750</v>
      </c>
      <c r="K37" s="2">
        <f t="shared" si="0"/>
        <v>1000</v>
      </c>
    </row>
    <row r="39" spans="4:15">
      <c r="D39" s="15" t="s">
        <v>125</v>
      </c>
      <c r="E39" s="2">
        <v>81928</v>
      </c>
      <c r="F39" s="2">
        <v>36960</v>
      </c>
      <c r="G39" s="2">
        <f>E39+F39</f>
        <v>118888</v>
      </c>
      <c r="H39" s="40">
        <f>G39/1.1</f>
        <v>108079.99999999999</v>
      </c>
    </row>
    <row r="40" spans="4:15">
      <c r="D40" s="15" t="s">
        <v>130</v>
      </c>
      <c r="G40" s="2">
        <v>385330</v>
      </c>
      <c r="H40" s="40">
        <f>G40/1.1</f>
        <v>350300</v>
      </c>
    </row>
    <row r="43" spans="4:15">
      <c r="D43" s="15" t="s">
        <v>134</v>
      </c>
      <c r="E43" s="2">
        <v>2919125</v>
      </c>
    </row>
    <row r="44" spans="4:15">
      <c r="D44" s="15" t="s">
        <v>135</v>
      </c>
      <c r="E44" s="2">
        <f>185000+133000</f>
        <v>318000</v>
      </c>
    </row>
    <row r="45" spans="4:15">
      <c r="E45" s="40">
        <f>SUM(E43:E44)</f>
        <v>3237125</v>
      </c>
    </row>
    <row r="46" spans="4:15">
      <c r="D46" s="15" t="s">
        <v>136</v>
      </c>
      <c r="E46" s="2">
        <v>188650</v>
      </c>
    </row>
    <row r="47" spans="4:15">
      <c r="E47" s="41">
        <f>E45+E46</f>
        <v>3425775</v>
      </c>
    </row>
    <row r="49" spans="4:5">
      <c r="D49" s="15" t="s">
        <v>133</v>
      </c>
      <c r="E49" s="2">
        <v>584100</v>
      </c>
    </row>
    <row r="50" spans="4:5">
      <c r="D50" s="15" t="s">
        <v>131</v>
      </c>
      <c r="E50" s="2">
        <v>1661275</v>
      </c>
    </row>
    <row r="51" spans="4:5">
      <c r="D51" s="15" t="s">
        <v>132</v>
      </c>
      <c r="E51" s="2">
        <v>575300</v>
      </c>
    </row>
    <row r="52" spans="4:5">
      <c r="E52" s="42">
        <f>SUM(E49:E51)</f>
        <v>2820675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7DAFD-7C98-464A-8F3F-98411E189563}">
  <dimension ref="A3:N46"/>
  <sheetViews>
    <sheetView zoomScaleNormal="100" workbookViewId="0">
      <selection activeCell="K19" sqref="K19"/>
    </sheetView>
  </sheetViews>
  <sheetFormatPr defaultRowHeight="16.5"/>
  <cols>
    <col min="1" max="1" width="15.875" bestFit="1" customWidth="1"/>
    <col min="2" max="2" width="12.375" bestFit="1" customWidth="1"/>
  </cols>
  <sheetData>
    <row r="3" spans="1:14">
      <c r="B3" t="s">
        <v>12</v>
      </c>
      <c r="C3" t="s">
        <v>11</v>
      </c>
      <c r="D3" t="s">
        <v>13</v>
      </c>
      <c r="E3" t="s">
        <v>74</v>
      </c>
      <c r="F3" t="s">
        <v>26</v>
      </c>
      <c r="G3" t="s">
        <v>90</v>
      </c>
      <c r="H3" t="s">
        <v>54</v>
      </c>
      <c r="I3" t="s">
        <v>53</v>
      </c>
    </row>
    <row r="4" spans="1:14">
      <c r="A4" s="1" t="s">
        <v>10</v>
      </c>
      <c r="B4">
        <v>600</v>
      </c>
      <c r="C4">
        <v>200</v>
      </c>
      <c r="D4">
        <v>400</v>
      </c>
    </row>
    <row r="5" spans="1:14">
      <c r="A5" t="s">
        <v>0</v>
      </c>
      <c r="B5">
        <v>400</v>
      </c>
      <c r="C5">
        <v>100</v>
      </c>
      <c r="D5">
        <v>200</v>
      </c>
      <c r="G5">
        <v>200</v>
      </c>
    </row>
    <row r="6" spans="1:14">
      <c r="A6" t="s">
        <v>1</v>
      </c>
      <c r="B6">
        <v>300</v>
      </c>
      <c r="C6">
        <v>100</v>
      </c>
      <c r="D6">
        <v>100</v>
      </c>
      <c r="F6">
        <v>100</v>
      </c>
      <c r="G6">
        <v>100</v>
      </c>
    </row>
    <row r="7" spans="1:14">
      <c r="A7" s="1" t="s">
        <v>58</v>
      </c>
      <c r="B7">
        <v>200</v>
      </c>
      <c r="C7">
        <v>100</v>
      </c>
      <c r="D7">
        <v>100</v>
      </c>
      <c r="H7" t="s">
        <v>62</v>
      </c>
    </row>
    <row r="8" spans="1:14">
      <c r="A8" s="1" t="s">
        <v>59</v>
      </c>
      <c r="B8">
        <v>100</v>
      </c>
      <c r="C8">
        <v>100</v>
      </c>
      <c r="D8">
        <v>100</v>
      </c>
      <c r="G8">
        <v>100</v>
      </c>
    </row>
    <row r="9" spans="1:14">
      <c r="A9" s="1" t="s">
        <v>9</v>
      </c>
      <c r="B9">
        <v>300</v>
      </c>
      <c r="C9">
        <v>100</v>
      </c>
      <c r="D9">
        <v>100</v>
      </c>
      <c r="F9">
        <v>100</v>
      </c>
    </row>
    <row r="10" spans="1:14">
      <c r="A10" s="1" t="s">
        <v>55</v>
      </c>
      <c r="B10">
        <v>200</v>
      </c>
      <c r="C10">
        <v>100</v>
      </c>
      <c r="F10" s="3"/>
      <c r="G10" s="3">
        <v>100</v>
      </c>
    </row>
    <row r="11" spans="1:14">
      <c r="A11" s="1" t="s">
        <v>5</v>
      </c>
      <c r="B11">
        <v>100</v>
      </c>
    </row>
    <row r="12" spans="1:14">
      <c r="A12" t="s">
        <v>6</v>
      </c>
      <c r="B12">
        <v>200</v>
      </c>
    </row>
    <row r="13" spans="1:14">
      <c r="A13" t="s">
        <v>18</v>
      </c>
      <c r="B13">
        <v>250</v>
      </c>
    </row>
    <row r="14" spans="1:14">
      <c r="A14" s="11" t="s">
        <v>8</v>
      </c>
      <c r="B14">
        <v>100</v>
      </c>
      <c r="G14">
        <v>100</v>
      </c>
    </row>
    <row r="15" spans="1:14">
      <c r="A15" s="1" t="s">
        <v>97</v>
      </c>
      <c r="B15">
        <v>100</v>
      </c>
      <c r="K15" t="s">
        <v>147</v>
      </c>
      <c r="L15" t="s">
        <v>148</v>
      </c>
      <c r="M15" t="s">
        <v>149</v>
      </c>
      <c r="N15" t="s">
        <v>150</v>
      </c>
    </row>
    <row r="16" spans="1:14">
      <c r="A16" s="1" t="s">
        <v>98</v>
      </c>
      <c r="B16">
        <v>300</v>
      </c>
      <c r="C16" t="s">
        <v>108</v>
      </c>
      <c r="I16">
        <v>15</v>
      </c>
      <c r="J16">
        <f>I16*7</f>
        <v>105</v>
      </c>
      <c r="K16">
        <v>8</v>
      </c>
      <c r="L16">
        <v>8</v>
      </c>
    </row>
    <row r="17" spans="1:12">
      <c r="A17" t="s">
        <v>99</v>
      </c>
      <c r="B17">
        <v>200</v>
      </c>
      <c r="C17" t="s">
        <v>107</v>
      </c>
      <c r="I17">
        <v>10</v>
      </c>
      <c r="J17">
        <f>I17*7</f>
        <v>70</v>
      </c>
      <c r="K17">
        <v>5</v>
      </c>
      <c r="L17">
        <v>5</v>
      </c>
    </row>
    <row r="18" spans="1:12">
      <c r="A18" t="s">
        <v>100</v>
      </c>
      <c r="B18">
        <v>200</v>
      </c>
      <c r="C18" t="s">
        <v>106</v>
      </c>
      <c r="I18">
        <v>5</v>
      </c>
      <c r="J18">
        <f>I18*7</f>
        <v>35</v>
      </c>
      <c r="K18">
        <v>5</v>
      </c>
      <c r="L18">
        <v>5</v>
      </c>
    </row>
    <row r="19" spans="1:12">
      <c r="A19" t="s">
        <v>101</v>
      </c>
      <c r="B19">
        <v>200</v>
      </c>
      <c r="C19" t="s">
        <v>109</v>
      </c>
      <c r="I19">
        <v>10</v>
      </c>
      <c r="J19">
        <f>I19*7</f>
        <v>70</v>
      </c>
      <c r="K19">
        <v>5</v>
      </c>
      <c r="L19">
        <v>5</v>
      </c>
    </row>
    <row r="20" spans="1:12">
      <c r="A20" t="s">
        <v>102</v>
      </c>
      <c r="B20">
        <v>200</v>
      </c>
      <c r="C20" t="s">
        <v>110</v>
      </c>
      <c r="I20">
        <v>5</v>
      </c>
      <c r="J20">
        <f>I20*7</f>
        <v>35</v>
      </c>
      <c r="K20">
        <v>5</v>
      </c>
      <c r="L20">
        <v>5</v>
      </c>
    </row>
    <row r="23" spans="1:12">
      <c r="A23" t="s">
        <v>79</v>
      </c>
    </row>
    <row r="24" spans="1:12">
      <c r="A24" s="1" t="s">
        <v>94</v>
      </c>
      <c r="H24" t="s">
        <v>95</v>
      </c>
    </row>
    <row r="25" spans="1:12">
      <c r="A25" s="1" t="s">
        <v>49</v>
      </c>
      <c r="H25" t="s">
        <v>92</v>
      </c>
    </row>
    <row r="26" spans="1:12">
      <c r="A26" t="s">
        <v>56</v>
      </c>
      <c r="H26" t="s">
        <v>93</v>
      </c>
    </row>
    <row r="27" spans="1:12">
      <c r="A27" s="1" t="s">
        <v>96</v>
      </c>
      <c r="H27" t="s">
        <v>93</v>
      </c>
    </row>
    <row r="28" spans="1:12">
      <c r="A28" s="1" t="s">
        <v>91</v>
      </c>
      <c r="B28" s="10">
        <v>277200</v>
      </c>
      <c r="C28">
        <v>36960</v>
      </c>
      <c r="D28">
        <f>4500*28*1.1</f>
        <v>138600</v>
      </c>
    </row>
    <row r="29" spans="1:12">
      <c r="B29">
        <f>SUM(B28:D28)/1.1</f>
        <v>411599.99999999994</v>
      </c>
    </row>
    <row r="30" spans="1:12">
      <c r="A30" t="s">
        <v>56</v>
      </c>
    </row>
    <row r="31" spans="1:12">
      <c r="A31" t="s">
        <v>57</v>
      </c>
    </row>
    <row r="32" spans="1:12" ht="15.75" customHeight="1">
      <c r="A32" t="s">
        <v>7</v>
      </c>
    </row>
    <row r="33" spans="1:10">
      <c r="A33" t="s">
        <v>2</v>
      </c>
      <c r="D33" s="3"/>
      <c r="E33" s="3"/>
    </row>
    <row r="35" spans="1:10">
      <c r="A35" s="1"/>
      <c r="B35" s="1"/>
      <c r="C35" s="1"/>
    </row>
    <row r="36" spans="1:10" ht="15.75" customHeight="1">
      <c r="A36" t="s">
        <v>63</v>
      </c>
      <c r="C36">
        <v>100</v>
      </c>
      <c r="J36" t="s">
        <v>67</v>
      </c>
    </row>
    <row r="39" spans="1:10">
      <c r="A39" s="7">
        <v>3360520</v>
      </c>
    </row>
    <row r="41" spans="1:10">
      <c r="A41" t="s">
        <v>103</v>
      </c>
      <c r="B41">
        <v>1244435</v>
      </c>
    </row>
    <row r="42" spans="1:10">
      <c r="A42" t="s">
        <v>105</v>
      </c>
      <c r="B42">
        <v>460960</v>
      </c>
    </row>
    <row r="43" spans="1:10">
      <c r="A43" t="s">
        <v>104</v>
      </c>
      <c r="B43">
        <v>579500</v>
      </c>
    </row>
    <row r="44" spans="1:10">
      <c r="B44" s="7">
        <f>SUM(B41:B43)</f>
        <v>2284895</v>
      </c>
    </row>
    <row r="46" spans="1:10">
      <c r="A46" s="12">
        <f>A39-B44</f>
        <v>1075625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4C772-DA7A-4431-B67A-B2E8F4ECAF95}">
  <dimension ref="A3:N28"/>
  <sheetViews>
    <sheetView zoomScale="85" zoomScaleNormal="85" workbookViewId="0">
      <selection activeCell="I6" sqref="I6"/>
    </sheetView>
  </sheetViews>
  <sheetFormatPr defaultRowHeight="16.5"/>
  <cols>
    <col min="2" max="2" width="15.125" bestFit="1" customWidth="1"/>
  </cols>
  <sheetData>
    <row r="3" spans="1:14">
      <c r="A3" t="s">
        <v>46</v>
      </c>
      <c r="C3" s="2" t="s">
        <v>42</v>
      </c>
      <c r="D3" s="2" t="s">
        <v>72</v>
      </c>
      <c r="E3" s="2" t="s">
        <v>74</v>
      </c>
      <c r="F3" s="2" t="s">
        <v>11</v>
      </c>
      <c r="G3" s="2" t="s">
        <v>112</v>
      </c>
      <c r="H3" s="2" t="s">
        <v>114</v>
      </c>
      <c r="I3" s="2" t="s">
        <v>113</v>
      </c>
      <c r="K3" t="s">
        <v>54</v>
      </c>
      <c r="L3" s="2" t="s">
        <v>116</v>
      </c>
      <c r="M3" s="2">
        <v>247</v>
      </c>
    </row>
    <row r="4" spans="1:14">
      <c r="B4" t="s">
        <v>27</v>
      </c>
      <c r="C4">
        <v>300</v>
      </c>
      <c r="F4">
        <v>100</v>
      </c>
      <c r="G4">
        <v>100</v>
      </c>
    </row>
    <row r="5" spans="1:14">
      <c r="B5" t="s">
        <v>28</v>
      </c>
      <c r="F5">
        <v>100</v>
      </c>
      <c r="G5">
        <v>100</v>
      </c>
      <c r="H5">
        <v>200</v>
      </c>
      <c r="K5" t="s">
        <v>111</v>
      </c>
      <c r="N5">
        <v>70</v>
      </c>
    </row>
    <row r="6" spans="1:14">
      <c r="B6" t="s">
        <v>29</v>
      </c>
      <c r="E6">
        <v>300</v>
      </c>
      <c r="F6">
        <v>100</v>
      </c>
      <c r="G6">
        <v>100</v>
      </c>
    </row>
    <row r="7" spans="1:14">
      <c r="B7" t="s">
        <v>30</v>
      </c>
      <c r="F7">
        <v>100</v>
      </c>
      <c r="H7">
        <v>300</v>
      </c>
      <c r="I7">
        <v>100</v>
      </c>
    </row>
    <row r="8" spans="1:14">
      <c r="B8" t="s">
        <v>31</v>
      </c>
      <c r="C8">
        <v>300</v>
      </c>
      <c r="F8">
        <v>100</v>
      </c>
      <c r="I8">
        <v>100</v>
      </c>
    </row>
    <row r="10" spans="1:14">
      <c r="A10" t="s">
        <v>32</v>
      </c>
    </row>
    <row r="11" spans="1:14">
      <c r="B11" t="s">
        <v>33</v>
      </c>
      <c r="C11">
        <v>200</v>
      </c>
      <c r="D11">
        <v>200</v>
      </c>
      <c r="F11">
        <v>100</v>
      </c>
      <c r="G11">
        <v>100</v>
      </c>
      <c r="J11" t="s">
        <v>51</v>
      </c>
    </row>
    <row r="12" spans="1:14">
      <c r="B12" t="s">
        <v>34</v>
      </c>
      <c r="C12">
        <v>400</v>
      </c>
      <c r="F12">
        <v>100</v>
      </c>
      <c r="G12">
        <v>100</v>
      </c>
      <c r="J12" t="s">
        <v>51</v>
      </c>
    </row>
    <row r="13" spans="1:14">
      <c r="B13" t="s">
        <v>70</v>
      </c>
      <c r="C13">
        <v>100</v>
      </c>
      <c r="G13">
        <v>100</v>
      </c>
    </row>
    <row r="14" spans="1:14">
      <c r="B14" t="s">
        <v>48</v>
      </c>
      <c r="C14">
        <v>100</v>
      </c>
      <c r="F14">
        <v>100</v>
      </c>
      <c r="H14">
        <v>50</v>
      </c>
      <c r="N14">
        <v>70</v>
      </c>
    </row>
    <row r="16" spans="1:14">
      <c r="B16" t="s">
        <v>36</v>
      </c>
      <c r="C16">
        <v>200</v>
      </c>
      <c r="H16">
        <v>200</v>
      </c>
      <c r="I16">
        <v>200</v>
      </c>
      <c r="J16" t="s">
        <v>51</v>
      </c>
    </row>
    <row r="17" spans="2:14">
      <c r="B17" t="s">
        <v>21</v>
      </c>
      <c r="C17">
        <v>400</v>
      </c>
      <c r="E17">
        <v>400</v>
      </c>
      <c r="F17">
        <v>100</v>
      </c>
      <c r="G17">
        <v>200</v>
      </c>
      <c r="J17" t="s">
        <v>51</v>
      </c>
      <c r="K17" t="s">
        <v>62</v>
      </c>
      <c r="N17">
        <v>70</v>
      </c>
    </row>
    <row r="18" spans="2:14">
      <c r="B18" t="s">
        <v>37</v>
      </c>
      <c r="K18" t="s">
        <v>62</v>
      </c>
      <c r="N18">
        <v>70</v>
      </c>
    </row>
    <row r="20" spans="2:14">
      <c r="B20" t="s">
        <v>39</v>
      </c>
    </row>
    <row r="21" spans="2:14">
      <c r="B21" t="s">
        <v>47</v>
      </c>
      <c r="C21">
        <v>400</v>
      </c>
      <c r="F21">
        <v>100</v>
      </c>
      <c r="G21">
        <v>200</v>
      </c>
    </row>
    <row r="22" spans="2:14">
      <c r="B22" t="s">
        <v>41</v>
      </c>
      <c r="C22">
        <v>300</v>
      </c>
    </row>
    <row r="23" spans="2:14">
      <c r="B23" t="s">
        <v>35</v>
      </c>
      <c r="C23">
        <v>200</v>
      </c>
    </row>
    <row r="24" spans="2:14">
      <c r="B24" t="s">
        <v>73</v>
      </c>
      <c r="C24">
        <v>100</v>
      </c>
      <c r="G24">
        <v>50</v>
      </c>
    </row>
    <row r="25" spans="2:14">
      <c r="B25" t="s">
        <v>115</v>
      </c>
      <c r="C25">
        <v>300</v>
      </c>
      <c r="I25">
        <v>100</v>
      </c>
      <c r="L25" t="s">
        <v>117</v>
      </c>
      <c r="M25" t="s">
        <v>118</v>
      </c>
    </row>
    <row r="27" spans="2:14">
      <c r="B27" t="s">
        <v>119</v>
      </c>
      <c r="C27">
        <v>100</v>
      </c>
      <c r="H27">
        <v>100</v>
      </c>
      <c r="I27">
        <v>50</v>
      </c>
    </row>
    <row r="28" spans="2:14">
      <c r="B28" t="s">
        <v>120</v>
      </c>
      <c r="C28">
        <v>100</v>
      </c>
      <c r="H28">
        <v>100</v>
      </c>
      <c r="I28">
        <v>50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FFE5-DE9B-482C-98C4-3758338951AE}">
  <dimension ref="A3:H25"/>
  <sheetViews>
    <sheetView topLeftCell="A23" zoomScaleNormal="100" workbookViewId="0">
      <selection activeCell="C50" sqref="C50"/>
    </sheetView>
  </sheetViews>
  <sheetFormatPr defaultRowHeight="16.5"/>
  <cols>
    <col min="1" max="1" width="11" bestFit="1" customWidth="1"/>
  </cols>
  <sheetData>
    <row r="3" spans="1:7">
      <c r="B3" t="s">
        <v>12</v>
      </c>
      <c r="C3" t="s">
        <v>11</v>
      </c>
      <c r="D3" t="s">
        <v>13</v>
      </c>
      <c r="E3" t="s">
        <v>26</v>
      </c>
      <c r="F3" t="s">
        <v>54</v>
      </c>
      <c r="G3" t="s">
        <v>53</v>
      </c>
    </row>
    <row r="4" spans="1:7">
      <c r="A4" t="s">
        <v>10</v>
      </c>
      <c r="B4">
        <v>600</v>
      </c>
      <c r="C4">
        <v>200</v>
      </c>
      <c r="D4">
        <v>400</v>
      </c>
    </row>
    <row r="5" spans="1:7">
      <c r="A5" t="s">
        <v>0</v>
      </c>
      <c r="B5">
        <v>400</v>
      </c>
      <c r="C5">
        <v>100</v>
      </c>
      <c r="E5">
        <v>200</v>
      </c>
    </row>
    <row r="6" spans="1:7">
      <c r="A6" t="s">
        <v>1</v>
      </c>
      <c r="B6">
        <v>300</v>
      </c>
      <c r="C6">
        <v>100</v>
      </c>
      <c r="E6">
        <v>150</v>
      </c>
      <c r="F6" t="s">
        <v>52</v>
      </c>
    </row>
    <row r="7" spans="1:7">
      <c r="A7" t="s">
        <v>58</v>
      </c>
      <c r="B7">
        <v>200</v>
      </c>
      <c r="C7">
        <v>100</v>
      </c>
      <c r="E7">
        <v>100</v>
      </c>
    </row>
    <row r="8" spans="1:7">
      <c r="A8" t="s">
        <v>59</v>
      </c>
      <c r="B8">
        <v>250</v>
      </c>
      <c r="C8">
        <v>100</v>
      </c>
      <c r="E8">
        <v>100</v>
      </c>
    </row>
    <row r="9" spans="1:7">
      <c r="A9" t="s">
        <v>9</v>
      </c>
      <c r="B9">
        <v>350</v>
      </c>
      <c r="C9">
        <v>100</v>
      </c>
      <c r="D9">
        <v>100</v>
      </c>
      <c r="E9">
        <v>100</v>
      </c>
    </row>
    <row r="10" spans="1:7">
      <c r="A10" t="s">
        <v>55</v>
      </c>
      <c r="B10">
        <v>200</v>
      </c>
      <c r="D10">
        <v>100</v>
      </c>
      <c r="E10" s="3">
        <v>50</v>
      </c>
    </row>
    <row r="11" spans="1:7">
      <c r="A11" t="s">
        <v>5</v>
      </c>
      <c r="B11">
        <v>100</v>
      </c>
    </row>
    <row r="12" spans="1:7">
      <c r="A12" t="s">
        <v>6</v>
      </c>
      <c r="B12">
        <v>50</v>
      </c>
    </row>
    <row r="13" spans="1:7">
      <c r="A13" t="s">
        <v>18</v>
      </c>
      <c r="B13">
        <v>200</v>
      </c>
    </row>
    <row r="14" spans="1:7">
      <c r="A14" t="s">
        <v>8</v>
      </c>
      <c r="B14">
        <v>100</v>
      </c>
      <c r="E14">
        <v>50</v>
      </c>
    </row>
    <row r="15" spans="1:7">
      <c r="A15" t="s">
        <v>79</v>
      </c>
      <c r="F15" t="s">
        <v>80</v>
      </c>
    </row>
    <row r="16" spans="1:7">
      <c r="A16" t="s">
        <v>82</v>
      </c>
    </row>
    <row r="17" spans="1:8">
      <c r="F17" t="s">
        <v>81</v>
      </c>
    </row>
    <row r="18" spans="1:8">
      <c r="A18" t="s">
        <v>56</v>
      </c>
    </row>
    <row r="19" spans="1:8">
      <c r="A19" t="s">
        <v>57</v>
      </c>
    </row>
    <row r="20" spans="1:8" ht="15.75" customHeight="1">
      <c r="A20" t="s">
        <v>7</v>
      </c>
    </row>
    <row r="21" spans="1:8">
      <c r="A21" t="s">
        <v>2</v>
      </c>
      <c r="D21" s="3"/>
    </row>
    <row r="23" spans="1:8">
      <c r="A23" s="1"/>
      <c r="B23" s="1"/>
      <c r="C23" s="1"/>
    </row>
    <row r="24" spans="1:8" ht="15.75" customHeight="1">
      <c r="A24" t="s">
        <v>63</v>
      </c>
      <c r="C24">
        <v>100</v>
      </c>
      <c r="H24" t="s">
        <v>67</v>
      </c>
    </row>
    <row r="25" spans="1:8">
      <c r="A25" t="s">
        <v>64</v>
      </c>
      <c r="D25">
        <v>100</v>
      </c>
      <c r="G25" t="s">
        <v>65</v>
      </c>
      <c r="H25" t="s">
        <v>68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9C90B-15A2-43FA-98D3-6F063307B781}">
  <dimension ref="A3:H37"/>
  <sheetViews>
    <sheetView workbookViewId="0">
      <selection activeCell="B27" sqref="B27"/>
    </sheetView>
  </sheetViews>
  <sheetFormatPr defaultRowHeight="16.5"/>
  <cols>
    <col min="2" max="2" width="15.125" bestFit="1" customWidth="1"/>
  </cols>
  <sheetData>
    <row r="3" spans="1:8">
      <c r="A3" t="s">
        <v>46</v>
      </c>
      <c r="C3" s="2" t="s">
        <v>42</v>
      </c>
      <c r="D3" s="2" t="s">
        <v>72</v>
      </c>
      <c r="E3" s="2" t="s">
        <v>11</v>
      </c>
      <c r="F3" s="2" t="s">
        <v>71</v>
      </c>
      <c r="H3" t="s">
        <v>45</v>
      </c>
    </row>
    <row r="4" spans="1:8">
      <c r="B4" t="s">
        <v>27</v>
      </c>
      <c r="C4">
        <v>300</v>
      </c>
      <c r="E4">
        <v>100</v>
      </c>
      <c r="F4">
        <v>100</v>
      </c>
    </row>
    <row r="5" spans="1:8">
      <c r="B5" t="s">
        <v>28</v>
      </c>
      <c r="C5">
        <v>200</v>
      </c>
      <c r="E5">
        <v>100</v>
      </c>
      <c r="F5">
        <v>100</v>
      </c>
    </row>
    <row r="6" spans="1:8">
      <c r="B6" t="s">
        <v>29</v>
      </c>
      <c r="C6">
        <v>200</v>
      </c>
      <c r="D6">
        <v>200</v>
      </c>
      <c r="E6">
        <v>100</v>
      </c>
      <c r="F6">
        <v>100</v>
      </c>
    </row>
    <row r="7" spans="1:8">
      <c r="B7" t="s">
        <v>30</v>
      </c>
      <c r="C7">
        <v>300</v>
      </c>
      <c r="D7">
        <v>100</v>
      </c>
      <c r="E7">
        <v>100</v>
      </c>
    </row>
    <row r="8" spans="1:8">
      <c r="B8" t="s">
        <v>31</v>
      </c>
      <c r="C8">
        <v>300</v>
      </c>
      <c r="E8">
        <v>100</v>
      </c>
      <c r="F8">
        <v>100</v>
      </c>
    </row>
    <row r="10" spans="1:8">
      <c r="A10" t="s">
        <v>32</v>
      </c>
    </row>
    <row r="11" spans="1:8">
      <c r="B11" t="s">
        <v>33</v>
      </c>
      <c r="D11">
        <v>300</v>
      </c>
      <c r="E11">
        <v>100</v>
      </c>
      <c r="F11">
        <v>100</v>
      </c>
      <c r="G11" t="s">
        <v>51</v>
      </c>
    </row>
    <row r="12" spans="1:8">
      <c r="B12" t="s">
        <v>34</v>
      </c>
      <c r="C12">
        <v>400</v>
      </c>
      <c r="E12">
        <v>100</v>
      </c>
      <c r="F12">
        <v>100</v>
      </c>
      <c r="G12" t="s">
        <v>51</v>
      </c>
    </row>
    <row r="13" spans="1:8">
      <c r="B13" t="s">
        <v>70</v>
      </c>
      <c r="C13">
        <v>100</v>
      </c>
      <c r="E13">
        <v>100</v>
      </c>
    </row>
    <row r="14" spans="1:8">
      <c r="B14" t="s">
        <v>48</v>
      </c>
      <c r="C14">
        <v>250</v>
      </c>
      <c r="E14">
        <v>100</v>
      </c>
      <c r="F14">
        <v>100</v>
      </c>
    </row>
    <row r="16" spans="1:8">
      <c r="B16" t="s">
        <v>36</v>
      </c>
      <c r="C16">
        <v>300</v>
      </c>
      <c r="D16">
        <v>300</v>
      </c>
      <c r="G16" t="s">
        <v>51</v>
      </c>
    </row>
    <row r="17" spans="1:8">
      <c r="B17" t="s">
        <v>21</v>
      </c>
      <c r="C17">
        <v>500</v>
      </c>
      <c r="D17">
        <v>300</v>
      </c>
      <c r="E17">
        <v>200</v>
      </c>
      <c r="G17" t="s">
        <v>51</v>
      </c>
    </row>
    <row r="18" spans="1:8">
      <c r="B18" t="s">
        <v>37</v>
      </c>
      <c r="C18">
        <v>200</v>
      </c>
      <c r="H18" t="s">
        <v>52</v>
      </c>
    </row>
    <row r="20" spans="1:8">
      <c r="B20" t="s">
        <v>39</v>
      </c>
      <c r="C20">
        <v>500</v>
      </c>
      <c r="D20">
        <v>200</v>
      </c>
      <c r="E20">
        <v>200</v>
      </c>
      <c r="G20" t="s">
        <v>51</v>
      </c>
    </row>
    <row r="21" spans="1:8">
      <c r="B21" t="s">
        <v>47</v>
      </c>
      <c r="C21">
        <v>200</v>
      </c>
      <c r="E21">
        <v>100</v>
      </c>
      <c r="F21">
        <v>100</v>
      </c>
      <c r="H21" t="s">
        <v>61</v>
      </c>
    </row>
    <row r="22" spans="1:8">
      <c r="B22" t="s">
        <v>41</v>
      </c>
      <c r="C22">
        <v>300</v>
      </c>
    </row>
    <row r="23" spans="1:8">
      <c r="B23" t="s">
        <v>35</v>
      </c>
      <c r="C23">
        <v>200</v>
      </c>
    </row>
    <row r="25" spans="1:8">
      <c r="B25" t="s">
        <v>73</v>
      </c>
      <c r="C25">
        <v>100</v>
      </c>
      <c r="F25">
        <v>50</v>
      </c>
    </row>
    <row r="26" spans="1:8">
      <c r="B26" t="s">
        <v>69</v>
      </c>
      <c r="C26">
        <v>100</v>
      </c>
      <c r="E26">
        <v>100</v>
      </c>
      <c r="F26">
        <v>50</v>
      </c>
    </row>
    <row r="27" spans="1:8">
      <c r="B27" t="s">
        <v>69</v>
      </c>
      <c r="C27">
        <v>100</v>
      </c>
      <c r="E27">
        <v>100</v>
      </c>
      <c r="F27">
        <v>50</v>
      </c>
    </row>
    <row r="28" spans="1:8">
      <c r="F28">
        <v>0</v>
      </c>
    </row>
    <row r="29" spans="1:8">
      <c r="A29" t="s">
        <v>88</v>
      </c>
      <c r="B29" s="7">
        <v>133000</v>
      </c>
    </row>
    <row r="30" spans="1:8">
      <c r="A30" t="s">
        <v>87</v>
      </c>
      <c r="B30" s="7">
        <v>2176755</v>
      </c>
    </row>
    <row r="31" spans="1:8">
      <c r="B31" s="8">
        <f>SUM(B29:B30)</f>
        <v>2309755</v>
      </c>
    </row>
    <row r="32" spans="1:8">
      <c r="A32" t="s">
        <v>84</v>
      </c>
      <c r="B32" s="7">
        <f>C32*1.1*33</f>
        <v>927465.00000000012</v>
      </c>
      <c r="C32">
        <v>25550</v>
      </c>
    </row>
    <row r="33" spans="1:3">
      <c r="A33" t="s">
        <v>89</v>
      </c>
      <c r="B33" s="7">
        <f>C33*1.1*23</f>
        <v>265650.00000000006</v>
      </c>
      <c r="C33">
        <v>10500</v>
      </c>
    </row>
    <row r="34" spans="1:3">
      <c r="A34" t="s">
        <v>83</v>
      </c>
      <c r="B34" s="7">
        <f>2121350-1412950</f>
        <v>708400</v>
      </c>
    </row>
    <row r="35" spans="1:3">
      <c r="A35" t="s">
        <v>85</v>
      </c>
      <c r="B35" s="7">
        <v>154000</v>
      </c>
    </row>
    <row r="36" spans="1:3">
      <c r="A36" t="s">
        <v>86</v>
      </c>
      <c r="B36" s="7">
        <v>70000</v>
      </c>
    </row>
    <row r="37" spans="1:3">
      <c r="B37" s="9">
        <f>SUM(B32:B36)</f>
        <v>2125515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A8B5-5297-4F20-A26E-F987D1B93690}">
  <dimension ref="A3:H23"/>
  <sheetViews>
    <sheetView workbookViewId="0">
      <selection activeCell="D11" sqref="D11"/>
    </sheetView>
  </sheetViews>
  <sheetFormatPr defaultRowHeight="16.5"/>
  <cols>
    <col min="1" max="1" width="11" bestFit="1" customWidth="1"/>
  </cols>
  <sheetData>
    <row r="3" spans="1:7">
      <c r="B3" t="s">
        <v>12</v>
      </c>
      <c r="C3" t="s">
        <v>11</v>
      </c>
      <c r="D3" t="s">
        <v>13</v>
      </c>
      <c r="E3" t="s">
        <v>26</v>
      </c>
      <c r="F3" t="s">
        <v>54</v>
      </c>
      <c r="G3" t="s">
        <v>53</v>
      </c>
    </row>
    <row r="4" spans="1:7">
      <c r="A4" t="s">
        <v>10</v>
      </c>
      <c r="B4">
        <v>600</v>
      </c>
      <c r="C4">
        <v>200</v>
      </c>
      <c r="D4">
        <v>400</v>
      </c>
    </row>
    <row r="5" spans="1:7">
      <c r="A5" t="s">
        <v>0</v>
      </c>
      <c r="B5">
        <v>400</v>
      </c>
      <c r="C5">
        <v>100</v>
      </c>
      <c r="D5">
        <v>200</v>
      </c>
      <c r="E5">
        <v>200</v>
      </c>
    </row>
    <row r="6" spans="1:7">
      <c r="A6" t="s">
        <v>1</v>
      </c>
      <c r="B6">
        <v>200</v>
      </c>
      <c r="C6">
        <v>100</v>
      </c>
      <c r="D6">
        <v>100</v>
      </c>
      <c r="E6">
        <v>100</v>
      </c>
    </row>
    <row r="7" spans="1:7">
      <c r="A7" t="s">
        <v>58</v>
      </c>
      <c r="B7">
        <v>150</v>
      </c>
      <c r="C7">
        <v>100</v>
      </c>
      <c r="D7">
        <v>100</v>
      </c>
      <c r="F7" t="s">
        <v>62</v>
      </c>
    </row>
    <row r="8" spans="1:7">
      <c r="A8" t="s">
        <v>59</v>
      </c>
      <c r="B8">
        <v>200</v>
      </c>
      <c r="C8">
        <v>100</v>
      </c>
      <c r="E8">
        <v>100</v>
      </c>
      <c r="F8" t="s">
        <v>62</v>
      </c>
    </row>
    <row r="9" spans="1:7">
      <c r="A9" t="s">
        <v>9</v>
      </c>
      <c r="B9">
        <v>300</v>
      </c>
      <c r="C9">
        <v>100</v>
      </c>
      <c r="D9">
        <v>200</v>
      </c>
    </row>
    <row r="10" spans="1:7">
      <c r="A10" t="s">
        <v>55</v>
      </c>
      <c r="B10">
        <v>150</v>
      </c>
      <c r="D10" s="3">
        <v>100</v>
      </c>
      <c r="F10" t="s">
        <v>62</v>
      </c>
    </row>
    <row r="11" spans="1:7">
      <c r="A11" t="s">
        <v>5</v>
      </c>
      <c r="B11">
        <v>50</v>
      </c>
    </row>
    <row r="12" spans="1:7">
      <c r="A12" t="s">
        <v>6</v>
      </c>
      <c r="B12">
        <v>50</v>
      </c>
    </row>
    <row r="13" spans="1:7">
      <c r="A13" t="s">
        <v>8</v>
      </c>
      <c r="B13">
        <v>100</v>
      </c>
    </row>
    <row r="14" spans="1:7">
      <c r="A14" t="s">
        <v>18</v>
      </c>
      <c r="B14">
        <v>200</v>
      </c>
    </row>
    <row r="16" spans="1:7">
      <c r="A16" t="s">
        <v>56</v>
      </c>
    </row>
    <row r="17" spans="1:8">
      <c r="A17" t="s">
        <v>57</v>
      </c>
    </row>
    <row r="18" spans="1:8" ht="15.75" customHeight="1">
      <c r="A18" t="s">
        <v>7</v>
      </c>
    </row>
    <row r="19" spans="1:8">
      <c r="A19" t="s">
        <v>2</v>
      </c>
      <c r="D19" s="3">
        <v>100</v>
      </c>
    </row>
    <row r="21" spans="1:8">
      <c r="A21" s="1"/>
      <c r="B21" s="1"/>
      <c r="C21" s="1"/>
    </row>
    <row r="22" spans="1:8" ht="15.75" customHeight="1">
      <c r="A22" t="s">
        <v>63</v>
      </c>
      <c r="C22">
        <v>100</v>
      </c>
      <c r="H22" t="s">
        <v>67</v>
      </c>
    </row>
    <row r="23" spans="1:8">
      <c r="A23" t="s">
        <v>64</v>
      </c>
      <c r="D23">
        <v>100</v>
      </c>
      <c r="G23" t="s">
        <v>65</v>
      </c>
      <c r="H23" t="s">
        <v>68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7926-79CE-4182-880F-3B6C4C268804}">
  <dimension ref="A3:I28"/>
  <sheetViews>
    <sheetView workbookViewId="0">
      <selection activeCell="F33" sqref="F33"/>
    </sheetView>
  </sheetViews>
  <sheetFormatPr defaultRowHeight="16.5"/>
  <cols>
    <col min="2" max="2" width="15.125" bestFit="1" customWidth="1"/>
  </cols>
  <sheetData>
    <row r="3" spans="1:9">
      <c r="A3" t="s">
        <v>46</v>
      </c>
      <c r="B3" s="4"/>
      <c r="C3" s="5" t="s">
        <v>75</v>
      </c>
      <c r="D3" s="5" t="s">
        <v>72</v>
      </c>
      <c r="E3" s="5" t="s">
        <v>74</v>
      </c>
      <c r="F3" s="5" t="s">
        <v>11</v>
      </c>
      <c r="G3" s="5" t="s">
        <v>71</v>
      </c>
      <c r="I3" t="s">
        <v>45</v>
      </c>
    </row>
    <row r="4" spans="1:9">
      <c r="B4" s="4" t="s">
        <v>27</v>
      </c>
      <c r="C4" s="4">
        <v>300</v>
      </c>
      <c r="D4" s="4"/>
      <c r="E4" s="4"/>
      <c r="F4" s="4">
        <v>100</v>
      </c>
      <c r="G4" s="4">
        <v>100</v>
      </c>
    </row>
    <row r="5" spans="1:9">
      <c r="B5" s="4" t="s">
        <v>28</v>
      </c>
      <c r="C5" s="4">
        <v>200</v>
      </c>
      <c r="D5" s="4"/>
      <c r="E5" s="4"/>
      <c r="F5" s="4">
        <v>100</v>
      </c>
      <c r="G5" s="4">
        <v>100</v>
      </c>
    </row>
    <row r="6" spans="1:9">
      <c r="B6" s="4" t="s">
        <v>29</v>
      </c>
      <c r="C6" s="4"/>
      <c r="D6" s="4"/>
      <c r="E6" s="4">
        <v>300</v>
      </c>
      <c r="F6" s="4">
        <v>100</v>
      </c>
      <c r="G6" s="4">
        <v>100</v>
      </c>
    </row>
    <row r="7" spans="1:9">
      <c r="B7" s="4" t="s">
        <v>30</v>
      </c>
      <c r="C7" s="4">
        <v>300</v>
      </c>
      <c r="D7" s="6">
        <v>100</v>
      </c>
      <c r="E7" s="6"/>
      <c r="F7" s="4">
        <v>100</v>
      </c>
      <c r="G7" s="4">
        <v>100</v>
      </c>
    </row>
    <row r="8" spans="1:9">
      <c r="B8" s="4" t="s">
        <v>31</v>
      </c>
      <c r="C8" s="4">
        <v>300</v>
      </c>
      <c r="D8" s="4"/>
      <c r="E8" s="4"/>
      <c r="F8" s="4">
        <v>100</v>
      </c>
      <c r="G8" s="4">
        <v>100</v>
      </c>
    </row>
    <row r="10" spans="1:9">
      <c r="A10" t="s">
        <v>32</v>
      </c>
    </row>
    <row r="11" spans="1:9">
      <c r="B11" t="s">
        <v>33</v>
      </c>
      <c r="C11">
        <v>200</v>
      </c>
      <c r="D11">
        <v>200</v>
      </c>
      <c r="F11">
        <v>100</v>
      </c>
      <c r="G11">
        <v>100</v>
      </c>
      <c r="H11" t="s">
        <v>51</v>
      </c>
    </row>
    <row r="12" spans="1:9">
      <c r="B12" t="s">
        <v>34</v>
      </c>
      <c r="C12">
        <v>400</v>
      </c>
      <c r="F12">
        <v>100</v>
      </c>
      <c r="G12">
        <v>100</v>
      </c>
      <c r="H12" t="s">
        <v>51</v>
      </c>
    </row>
    <row r="13" spans="1:9">
      <c r="B13" s="1" t="s">
        <v>70</v>
      </c>
      <c r="C13">
        <v>100</v>
      </c>
      <c r="D13">
        <v>100</v>
      </c>
    </row>
    <row r="14" spans="1:9">
      <c r="B14" t="s">
        <v>48</v>
      </c>
      <c r="C14">
        <v>100</v>
      </c>
      <c r="F14">
        <v>100</v>
      </c>
      <c r="G14">
        <v>50</v>
      </c>
    </row>
    <row r="16" spans="1:9">
      <c r="B16" t="s">
        <v>36</v>
      </c>
      <c r="C16">
        <v>300</v>
      </c>
      <c r="D16">
        <v>300</v>
      </c>
      <c r="H16" t="s">
        <v>51</v>
      </c>
    </row>
    <row r="17" spans="2:9">
      <c r="B17" t="s">
        <v>21</v>
      </c>
      <c r="C17">
        <v>400</v>
      </c>
      <c r="E17">
        <v>400</v>
      </c>
      <c r="F17">
        <v>200</v>
      </c>
      <c r="G17">
        <v>100</v>
      </c>
      <c r="H17" t="s">
        <v>51</v>
      </c>
      <c r="I17" t="s">
        <v>76</v>
      </c>
    </row>
    <row r="18" spans="2:9">
      <c r="B18" t="s">
        <v>37</v>
      </c>
    </row>
    <row r="20" spans="2:9">
      <c r="B20" t="s">
        <v>39</v>
      </c>
      <c r="C20">
        <v>500</v>
      </c>
      <c r="D20">
        <v>200</v>
      </c>
      <c r="F20">
        <v>200</v>
      </c>
      <c r="H20" t="s">
        <v>51</v>
      </c>
    </row>
    <row r="21" spans="2:9">
      <c r="B21" t="s">
        <v>47</v>
      </c>
      <c r="C21">
        <v>200</v>
      </c>
      <c r="F21">
        <v>100</v>
      </c>
      <c r="G21">
        <v>100</v>
      </c>
    </row>
    <row r="23" spans="2:9">
      <c r="B23" t="s">
        <v>41</v>
      </c>
      <c r="C23">
        <v>300</v>
      </c>
    </row>
    <row r="24" spans="2:9">
      <c r="B24" t="s">
        <v>35</v>
      </c>
      <c r="C24">
        <v>200</v>
      </c>
    </row>
    <row r="26" spans="2:9">
      <c r="B26" s="1" t="s">
        <v>73</v>
      </c>
      <c r="C26">
        <v>100</v>
      </c>
      <c r="G26">
        <v>50</v>
      </c>
    </row>
    <row r="27" spans="2:9">
      <c r="B27" s="1" t="s">
        <v>77</v>
      </c>
      <c r="C27">
        <v>100</v>
      </c>
      <c r="D27">
        <v>100</v>
      </c>
      <c r="G27">
        <v>50</v>
      </c>
    </row>
    <row r="28" spans="2:9">
      <c r="B28" s="1" t="s">
        <v>78</v>
      </c>
      <c r="C28">
        <v>100</v>
      </c>
      <c r="D28">
        <v>100</v>
      </c>
      <c r="G28">
        <v>50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3A5AE-16EC-4510-8C18-1755E4B5AC7C}">
  <dimension ref="A3:H23"/>
  <sheetViews>
    <sheetView workbookViewId="0">
      <selection activeCell="H23" sqref="H23"/>
    </sheetView>
  </sheetViews>
  <sheetFormatPr defaultRowHeight="16.5"/>
  <cols>
    <col min="1" max="1" width="11" bestFit="1" customWidth="1"/>
  </cols>
  <sheetData>
    <row r="3" spans="1:7">
      <c r="B3" t="s">
        <v>12</v>
      </c>
      <c r="C3" t="s">
        <v>11</v>
      </c>
      <c r="D3" t="s">
        <v>13</v>
      </c>
      <c r="E3" t="s">
        <v>26</v>
      </c>
      <c r="F3" t="s">
        <v>54</v>
      </c>
      <c r="G3" t="s">
        <v>53</v>
      </c>
    </row>
    <row r="4" spans="1:7">
      <c r="A4" t="s">
        <v>10</v>
      </c>
      <c r="B4">
        <v>600</v>
      </c>
      <c r="C4">
        <v>200</v>
      </c>
      <c r="D4">
        <v>400</v>
      </c>
    </row>
    <row r="5" spans="1:7">
      <c r="A5" t="s">
        <v>0</v>
      </c>
      <c r="B5">
        <v>400</v>
      </c>
      <c r="C5">
        <v>100</v>
      </c>
      <c r="D5">
        <v>200</v>
      </c>
      <c r="E5">
        <v>200</v>
      </c>
    </row>
    <row r="6" spans="1:7">
      <c r="A6" t="s">
        <v>1</v>
      </c>
      <c r="B6">
        <v>200</v>
      </c>
      <c r="C6">
        <v>100</v>
      </c>
      <c r="D6">
        <v>100</v>
      </c>
      <c r="E6">
        <v>100</v>
      </c>
    </row>
    <row r="7" spans="1:7">
      <c r="A7" t="s">
        <v>58</v>
      </c>
      <c r="B7">
        <v>150</v>
      </c>
      <c r="C7">
        <v>100</v>
      </c>
      <c r="D7">
        <v>100</v>
      </c>
      <c r="F7" t="s">
        <v>62</v>
      </c>
    </row>
    <row r="8" spans="1:7">
      <c r="A8" t="s">
        <v>59</v>
      </c>
      <c r="B8">
        <v>200</v>
      </c>
      <c r="C8">
        <v>100</v>
      </c>
      <c r="E8">
        <v>100</v>
      </c>
      <c r="F8" t="s">
        <v>62</v>
      </c>
    </row>
    <row r="9" spans="1:7">
      <c r="A9" t="s">
        <v>9</v>
      </c>
      <c r="B9">
        <v>300</v>
      </c>
      <c r="C9">
        <v>100</v>
      </c>
      <c r="D9">
        <v>200</v>
      </c>
    </row>
    <row r="10" spans="1:7">
      <c r="A10" t="s">
        <v>55</v>
      </c>
      <c r="B10">
        <v>150</v>
      </c>
      <c r="D10" s="3">
        <v>100</v>
      </c>
      <c r="F10" t="s">
        <v>62</v>
      </c>
    </row>
    <row r="11" spans="1:7">
      <c r="A11" t="s">
        <v>5</v>
      </c>
      <c r="B11">
        <v>50</v>
      </c>
    </row>
    <row r="12" spans="1:7">
      <c r="A12" t="s">
        <v>6</v>
      </c>
      <c r="B12">
        <v>50</v>
      </c>
    </row>
    <row r="13" spans="1:7">
      <c r="A13" t="s">
        <v>8</v>
      </c>
      <c r="B13">
        <v>100</v>
      </c>
    </row>
    <row r="14" spans="1:7">
      <c r="A14" t="s">
        <v>18</v>
      </c>
      <c r="B14">
        <v>200</v>
      </c>
    </row>
    <row r="16" spans="1:7">
      <c r="A16" t="s">
        <v>56</v>
      </c>
    </row>
    <row r="17" spans="1:8">
      <c r="A17" t="s">
        <v>57</v>
      </c>
    </row>
    <row r="18" spans="1:8" ht="15.75" customHeight="1">
      <c r="A18" t="s">
        <v>7</v>
      </c>
    </row>
    <row r="19" spans="1:8">
      <c r="A19" t="s">
        <v>2</v>
      </c>
      <c r="D19" s="3">
        <v>100</v>
      </c>
    </row>
    <row r="21" spans="1:8">
      <c r="A21" s="1"/>
      <c r="B21" s="1"/>
      <c r="C21" s="1"/>
    </row>
    <row r="22" spans="1:8" ht="15.75" customHeight="1">
      <c r="A22" t="s">
        <v>63</v>
      </c>
      <c r="C22">
        <v>100</v>
      </c>
      <c r="H22" t="s">
        <v>67</v>
      </c>
    </row>
    <row r="23" spans="1:8">
      <c r="A23" t="s">
        <v>64</v>
      </c>
      <c r="D23">
        <v>100</v>
      </c>
      <c r="G23" t="s">
        <v>65</v>
      </c>
      <c r="H23" t="s">
        <v>66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93CB-F7F0-41AC-A129-7E307F837562}">
  <dimension ref="A3:H21"/>
  <sheetViews>
    <sheetView workbookViewId="0">
      <selection activeCell="B10" sqref="B10"/>
    </sheetView>
  </sheetViews>
  <sheetFormatPr defaultRowHeight="16.5"/>
  <cols>
    <col min="2" max="2" width="15.125" bestFit="1" customWidth="1"/>
  </cols>
  <sheetData>
    <row r="3" spans="1:8">
      <c r="A3" t="s">
        <v>46</v>
      </c>
      <c r="C3" s="2" t="s">
        <v>42</v>
      </c>
      <c r="D3" s="2" t="s">
        <v>60</v>
      </c>
      <c r="E3" s="2" t="s">
        <v>11</v>
      </c>
      <c r="F3" s="2" t="s">
        <v>26</v>
      </c>
      <c r="H3" t="s">
        <v>45</v>
      </c>
    </row>
    <row r="4" spans="1:8">
      <c r="B4" t="s">
        <v>27</v>
      </c>
      <c r="C4">
        <v>300</v>
      </c>
      <c r="E4">
        <v>100</v>
      </c>
      <c r="F4">
        <v>100</v>
      </c>
      <c r="G4" t="s">
        <v>51</v>
      </c>
      <c r="H4" t="s">
        <v>50</v>
      </c>
    </row>
    <row r="5" spans="1:8">
      <c r="B5" t="s">
        <v>28</v>
      </c>
      <c r="C5">
        <v>200</v>
      </c>
      <c r="E5">
        <v>100</v>
      </c>
      <c r="F5">
        <v>100</v>
      </c>
      <c r="G5" t="s">
        <v>51</v>
      </c>
    </row>
    <row r="6" spans="1:8">
      <c r="B6" t="s">
        <v>29</v>
      </c>
      <c r="C6">
        <v>300</v>
      </c>
      <c r="D6">
        <v>100</v>
      </c>
      <c r="G6" t="s">
        <v>51</v>
      </c>
    </row>
    <row r="7" spans="1:8">
      <c r="B7" t="s">
        <v>30</v>
      </c>
      <c r="C7">
        <v>300</v>
      </c>
      <c r="D7">
        <v>100</v>
      </c>
      <c r="E7">
        <v>100</v>
      </c>
      <c r="G7" t="s">
        <v>51</v>
      </c>
      <c r="H7" t="s">
        <v>50</v>
      </c>
    </row>
    <row r="8" spans="1:8">
      <c r="B8" t="s">
        <v>31</v>
      </c>
      <c r="C8">
        <v>300</v>
      </c>
      <c r="E8">
        <v>100</v>
      </c>
      <c r="F8">
        <v>100</v>
      </c>
      <c r="G8" t="s">
        <v>51</v>
      </c>
    </row>
    <row r="10" spans="1:8">
      <c r="A10" t="s">
        <v>32</v>
      </c>
    </row>
    <row r="11" spans="1:8">
      <c r="B11" t="s">
        <v>33</v>
      </c>
      <c r="D11">
        <v>300</v>
      </c>
      <c r="E11">
        <v>100</v>
      </c>
      <c r="F11">
        <v>100</v>
      </c>
      <c r="G11" t="s">
        <v>51</v>
      </c>
    </row>
    <row r="12" spans="1:8">
      <c r="B12" t="s">
        <v>34</v>
      </c>
      <c r="C12">
        <v>400</v>
      </c>
      <c r="E12">
        <v>100</v>
      </c>
      <c r="F12">
        <v>100</v>
      </c>
      <c r="G12" t="s">
        <v>51</v>
      </c>
    </row>
    <row r="13" spans="1:8">
      <c r="B13" t="s">
        <v>48</v>
      </c>
      <c r="C13">
        <v>250</v>
      </c>
      <c r="E13">
        <v>100</v>
      </c>
      <c r="F13">
        <v>100</v>
      </c>
    </row>
    <row r="14" spans="1:8">
      <c r="B14" t="s">
        <v>36</v>
      </c>
      <c r="C14">
        <v>300</v>
      </c>
      <c r="D14">
        <v>300</v>
      </c>
      <c r="G14" t="s">
        <v>51</v>
      </c>
    </row>
    <row r="15" spans="1:8">
      <c r="B15" t="s">
        <v>21</v>
      </c>
      <c r="C15">
        <v>500</v>
      </c>
      <c r="D15">
        <v>300</v>
      </c>
      <c r="E15">
        <v>200</v>
      </c>
      <c r="G15" t="s">
        <v>51</v>
      </c>
    </row>
    <row r="16" spans="1:8">
      <c r="B16" t="s">
        <v>37</v>
      </c>
      <c r="C16">
        <v>200</v>
      </c>
      <c r="H16" t="s">
        <v>52</v>
      </c>
    </row>
    <row r="17" spans="2:8">
      <c r="B17" t="s">
        <v>38</v>
      </c>
    </row>
    <row r="18" spans="2:8">
      <c r="B18" t="s">
        <v>39</v>
      </c>
      <c r="C18">
        <v>500</v>
      </c>
      <c r="D18">
        <v>200</v>
      </c>
      <c r="E18">
        <v>200</v>
      </c>
      <c r="G18" t="s">
        <v>51</v>
      </c>
    </row>
    <row r="19" spans="2:8">
      <c r="B19" t="s">
        <v>47</v>
      </c>
      <c r="C19">
        <v>200</v>
      </c>
      <c r="E19">
        <v>100</v>
      </c>
      <c r="F19">
        <v>100</v>
      </c>
      <c r="H19" t="s">
        <v>61</v>
      </c>
    </row>
    <row r="20" spans="2:8">
      <c r="B20" t="s">
        <v>41</v>
      </c>
      <c r="C20">
        <v>300</v>
      </c>
    </row>
    <row r="21" spans="2:8">
      <c r="B21" t="s">
        <v>35</v>
      </c>
      <c r="C21">
        <v>200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3A3C-AE8D-4660-8A24-49C6EA9FD56D}">
  <dimension ref="A3:E24"/>
  <sheetViews>
    <sheetView workbookViewId="0">
      <selection activeCell="B23" sqref="B23"/>
    </sheetView>
  </sheetViews>
  <sheetFormatPr defaultRowHeight="16.5"/>
  <cols>
    <col min="1" max="1" width="11" bestFit="1" customWidth="1"/>
  </cols>
  <sheetData>
    <row r="3" spans="1:5">
      <c r="B3" t="s">
        <v>12</v>
      </c>
      <c r="C3" t="s">
        <v>11</v>
      </c>
      <c r="D3" t="s">
        <v>13</v>
      </c>
      <c r="E3" t="s">
        <v>26</v>
      </c>
    </row>
    <row r="4" spans="1:5">
      <c r="A4" t="s">
        <v>10</v>
      </c>
      <c r="B4">
        <v>600</v>
      </c>
      <c r="C4">
        <v>200</v>
      </c>
      <c r="D4">
        <v>400</v>
      </c>
    </row>
    <row r="5" spans="1:5">
      <c r="A5" t="s">
        <v>0</v>
      </c>
      <c r="B5">
        <v>400</v>
      </c>
      <c r="C5">
        <v>0</v>
      </c>
      <c r="D5">
        <v>400</v>
      </c>
    </row>
    <row r="6" spans="1:5">
      <c r="A6" t="s">
        <v>1</v>
      </c>
      <c r="B6">
        <v>200</v>
      </c>
      <c r="C6">
        <v>100</v>
      </c>
      <c r="D6">
        <v>100</v>
      </c>
    </row>
    <row r="7" spans="1:5">
      <c r="A7" t="s">
        <v>3</v>
      </c>
      <c r="B7">
        <v>100</v>
      </c>
      <c r="C7">
        <v>100</v>
      </c>
      <c r="D7">
        <v>100</v>
      </c>
    </row>
    <row r="8" spans="1:5">
      <c r="A8" t="s">
        <v>4</v>
      </c>
      <c r="B8">
        <v>100</v>
      </c>
      <c r="C8">
        <v>100</v>
      </c>
      <c r="D8">
        <v>100</v>
      </c>
    </row>
    <row r="9" spans="1:5">
      <c r="A9" t="s">
        <v>9</v>
      </c>
      <c r="B9">
        <v>300</v>
      </c>
      <c r="C9">
        <v>100</v>
      </c>
      <c r="D9">
        <v>200</v>
      </c>
    </row>
    <row r="10" spans="1:5">
      <c r="A10" t="s">
        <v>2</v>
      </c>
    </row>
    <row r="11" spans="1:5">
      <c r="A11" t="s">
        <v>5</v>
      </c>
      <c r="B11">
        <v>100</v>
      </c>
    </row>
    <row r="12" spans="1:5">
      <c r="A12" t="s">
        <v>6</v>
      </c>
      <c r="B12">
        <v>100</v>
      </c>
    </row>
    <row r="13" spans="1:5" ht="15.75" customHeight="1">
      <c r="A13" t="s">
        <v>7</v>
      </c>
      <c r="B13">
        <v>150</v>
      </c>
      <c r="E13">
        <v>100</v>
      </c>
    </row>
    <row r="14" spans="1:5">
      <c r="A14" t="s">
        <v>8</v>
      </c>
      <c r="B14">
        <v>100</v>
      </c>
    </row>
    <row r="15" spans="1:5">
      <c r="A15" t="s">
        <v>18</v>
      </c>
      <c r="B15">
        <v>100</v>
      </c>
      <c r="E15" t="s">
        <v>17</v>
      </c>
    </row>
    <row r="18" spans="1:4">
      <c r="A18" t="s">
        <v>19</v>
      </c>
      <c r="C18" t="s">
        <v>23</v>
      </c>
    </row>
    <row r="19" spans="1:4">
      <c r="A19" t="s">
        <v>20</v>
      </c>
      <c r="B19">
        <v>200</v>
      </c>
    </row>
    <row r="20" spans="1:4">
      <c r="A20" s="1" t="s">
        <v>21</v>
      </c>
      <c r="B20" s="1">
        <v>300</v>
      </c>
      <c r="C20" s="1" t="s">
        <v>24</v>
      </c>
    </row>
    <row r="21" spans="1:4" ht="15.75" customHeight="1">
      <c r="A21" t="s">
        <v>22</v>
      </c>
      <c r="B21">
        <v>200</v>
      </c>
    </row>
    <row r="23" spans="1:4">
      <c r="A23" t="s">
        <v>25</v>
      </c>
    </row>
    <row r="24" spans="1:4">
      <c r="A24" t="s">
        <v>14</v>
      </c>
      <c r="B24">
        <v>5</v>
      </c>
      <c r="C24">
        <v>7</v>
      </c>
      <c r="D24">
        <f>B24*C24</f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3F17-943E-49DB-B238-ABD7093E32F7}">
  <dimension ref="A3:E28"/>
  <sheetViews>
    <sheetView workbookViewId="0">
      <selection activeCell="G20" sqref="G19:G20"/>
    </sheetView>
  </sheetViews>
  <sheetFormatPr defaultRowHeight="16.5"/>
  <cols>
    <col min="1" max="1" width="11" bestFit="1" customWidth="1"/>
  </cols>
  <sheetData>
    <row r="3" spans="1:5">
      <c r="B3" t="s">
        <v>12</v>
      </c>
      <c r="C3" t="s">
        <v>11</v>
      </c>
      <c r="D3" t="s">
        <v>13</v>
      </c>
      <c r="E3" t="s">
        <v>26</v>
      </c>
    </row>
    <row r="4" spans="1:5">
      <c r="A4" t="s">
        <v>10</v>
      </c>
      <c r="B4">
        <v>600</v>
      </c>
      <c r="C4">
        <v>200</v>
      </c>
      <c r="D4">
        <v>400</v>
      </c>
    </row>
    <row r="5" spans="1:5">
      <c r="A5" t="s">
        <v>0</v>
      </c>
      <c r="B5">
        <v>400</v>
      </c>
      <c r="C5">
        <v>0</v>
      </c>
      <c r="D5">
        <v>400</v>
      </c>
    </row>
    <row r="6" spans="1:5">
      <c r="A6" t="s">
        <v>1</v>
      </c>
      <c r="B6">
        <v>200</v>
      </c>
      <c r="C6">
        <v>100</v>
      </c>
      <c r="D6">
        <v>100</v>
      </c>
    </row>
    <row r="7" spans="1:5">
      <c r="A7" t="s">
        <v>3</v>
      </c>
      <c r="B7">
        <v>100</v>
      </c>
      <c r="C7">
        <v>100</v>
      </c>
      <c r="D7">
        <v>100</v>
      </c>
    </row>
    <row r="8" spans="1:5">
      <c r="A8" t="s">
        <v>4</v>
      </c>
      <c r="B8">
        <v>100</v>
      </c>
      <c r="C8">
        <v>100</v>
      </c>
      <c r="D8">
        <v>100</v>
      </c>
    </row>
    <row r="9" spans="1:5">
      <c r="A9" t="s">
        <v>9</v>
      </c>
      <c r="B9">
        <v>300</v>
      </c>
      <c r="C9">
        <v>100</v>
      </c>
      <c r="D9">
        <v>200</v>
      </c>
    </row>
    <row r="10" spans="1:5">
      <c r="A10" t="s">
        <v>2</v>
      </c>
      <c r="B10">
        <v>200</v>
      </c>
    </row>
    <row r="11" spans="1:5">
      <c r="A11" t="s">
        <v>5</v>
      </c>
      <c r="B11">
        <v>100</v>
      </c>
    </row>
    <row r="12" spans="1:5">
      <c r="A12" t="s">
        <v>6</v>
      </c>
      <c r="B12">
        <v>100</v>
      </c>
    </row>
    <row r="13" spans="1:5">
      <c r="A13" t="s">
        <v>7</v>
      </c>
      <c r="B13">
        <v>250</v>
      </c>
      <c r="E13">
        <v>50</v>
      </c>
    </row>
    <row r="14" spans="1:5">
      <c r="A14" t="s">
        <v>8</v>
      </c>
      <c r="B14">
        <v>100</v>
      </c>
    </row>
    <row r="15" spans="1:5">
      <c r="A15" t="s">
        <v>18</v>
      </c>
      <c r="B15">
        <v>100</v>
      </c>
      <c r="E15" t="s">
        <v>17</v>
      </c>
    </row>
    <row r="18" spans="1:4">
      <c r="A18" t="s">
        <v>19</v>
      </c>
      <c r="C18" t="s">
        <v>23</v>
      </c>
    </row>
    <row r="19" spans="1:4">
      <c r="A19" t="s">
        <v>20</v>
      </c>
      <c r="B19">
        <v>200</v>
      </c>
    </row>
    <row r="20" spans="1:4">
      <c r="A20" s="1" t="s">
        <v>21</v>
      </c>
      <c r="B20" s="1">
        <v>300</v>
      </c>
      <c r="C20" s="1" t="s">
        <v>24</v>
      </c>
    </row>
    <row r="21" spans="1:4" ht="15.75" customHeight="1">
      <c r="A21" t="s">
        <v>22</v>
      </c>
      <c r="B21">
        <v>200</v>
      </c>
    </row>
    <row r="23" spans="1:4">
      <c r="A23" t="s">
        <v>25</v>
      </c>
    </row>
    <row r="24" spans="1:4">
      <c r="A24" t="s">
        <v>14</v>
      </c>
      <c r="B24">
        <v>5</v>
      </c>
      <c r="C24">
        <v>7</v>
      </c>
      <c r="D24">
        <f>B24*C24</f>
        <v>35</v>
      </c>
    </row>
    <row r="25" spans="1:4">
      <c r="A25" t="s">
        <v>15</v>
      </c>
      <c r="B25">
        <v>5</v>
      </c>
      <c r="C25">
        <v>7</v>
      </c>
      <c r="D25">
        <f>B25*C25</f>
        <v>35</v>
      </c>
    </row>
    <row r="27" spans="1:4">
      <c r="A27" t="s">
        <v>16</v>
      </c>
      <c r="D27">
        <v>200</v>
      </c>
    </row>
    <row r="28" spans="1:4">
      <c r="D28">
        <f>SUM(D24:D27)</f>
        <v>270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2647-4972-4CF1-8525-BD5B33F97600}">
  <dimension ref="A3:H25"/>
  <sheetViews>
    <sheetView workbookViewId="0">
      <selection activeCell="I7" sqref="I7"/>
    </sheetView>
  </sheetViews>
  <sheetFormatPr defaultRowHeight="16.5"/>
  <cols>
    <col min="2" max="2" width="15.125" bestFit="1" customWidth="1"/>
  </cols>
  <sheetData>
    <row r="3" spans="1:8">
      <c r="A3" t="s">
        <v>46</v>
      </c>
      <c r="C3" s="2" t="s">
        <v>42</v>
      </c>
      <c r="D3" s="2" t="s">
        <v>11</v>
      </c>
      <c r="E3" s="2" t="s">
        <v>43</v>
      </c>
      <c r="G3" t="s">
        <v>45</v>
      </c>
    </row>
    <row r="4" spans="1:8">
      <c r="B4" t="s">
        <v>27</v>
      </c>
      <c r="C4">
        <v>300</v>
      </c>
      <c r="D4">
        <v>100</v>
      </c>
      <c r="E4">
        <v>100</v>
      </c>
    </row>
    <row r="5" spans="1:8">
      <c r="B5" t="s">
        <v>28</v>
      </c>
      <c r="C5">
        <v>200</v>
      </c>
      <c r="D5">
        <v>100</v>
      </c>
      <c r="E5">
        <v>100</v>
      </c>
    </row>
    <row r="6" spans="1:8">
      <c r="B6" t="s">
        <v>29</v>
      </c>
      <c r="C6">
        <v>200</v>
      </c>
    </row>
    <row r="7" spans="1:8">
      <c r="B7" t="s">
        <v>30</v>
      </c>
      <c r="C7">
        <v>300</v>
      </c>
      <c r="D7">
        <v>100</v>
      </c>
      <c r="E7">
        <v>200</v>
      </c>
    </row>
    <row r="8" spans="1:8">
      <c r="B8" t="s">
        <v>31</v>
      </c>
      <c r="C8">
        <v>300</v>
      </c>
      <c r="D8">
        <v>100</v>
      </c>
      <c r="E8">
        <v>100</v>
      </c>
    </row>
    <row r="10" spans="1:8">
      <c r="A10" t="s">
        <v>32</v>
      </c>
    </row>
    <row r="11" spans="1:8">
      <c r="B11" t="s">
        <v>33</v>
      </c>
      <c r="C11">
        <v>300</v>
      </c>
      <c r="D11">
        <v>100</v>
      </c>
      <c r="E11">
        <v>100</v>
      </c>
    </row>
    <row r="12" spans="1:8">
      <c r="B12" t="s">
        <v>34</v>
      </c>
      <c r="C12">
        <v>300</v>
      </c>
      <c r="D12">
        <v>100</v>
      </c>
      <c r="E12">
        <v>100</v>
      </c>
    </row>
    <row r="13" spans="1:8">
      <c r="B13" t="s">
        <v>48</v>
      </c>
      <c r="C13">
        <v>300</v>
      </c>
      <c r="D13">
        <v>100</v>
      </c>
      <c r="E13">
        <v>100</v>
      </c>
    </row>
    <row r="14" spans="1:8">
      <c r="B14" t="s">
        <v>36</v>
      </c>
      <c r="C14">
        <v>300</v>
      </c>
      <c r="E14">
        <v>300</v>
      </c>
    </row>
    <row r="15" spans="1:8">
      <c r="B15" t="s">
        <v>21</v>
      </c>
      <c r="C15">
        <v>400</v>
      </c>
      <c r="D15">
        <v>200</v>
      </c>
      <c r="E15">
        <v>200</v>
      </c>
      <c r="G15">
        <v>70</v>
      </c>
      <c r="H15">
        <v>14</v>
      </c>
    </row>
    <row r="16" spans="1:8">
      <c r="B16" t="s">
        <v>37</v>
      </c>
      <c r="C16">
        <v>300</v>
      </c>
      <c r="D16">
        <v>100</v>
      </c>
      <c r="E16">
        <v>100</v>
      </c>
      <c r="F16" t="s">
        <v>44</v>
      </c>
    </row>
    <row r="17" spans="2:8">
      <c r="B17" t="s">
        <v>38</v>
      </c>
      <c r="C17">
        <v>400</v>
      </c>
      <c r="D17">
        <v>100</v>
      </c>
      <c r="E17">
        <v>200</v>
      </c>
    </row>
    <row r="18" spans="2:8">
      <c r="B18" t="s">
        <v>39</v>
      </c>
      <c r="C18">
        <v>400</v>
      </c>
      <c r="D18">
        <v>200</v>
      </c>
      <c r="E18">
        <v>200</v>
      </c>
    </row>
    <row r="19" spans="2:8">
      <c r="B19" t="s">
        <v>47</v>
      </c>
      <c r="C19">
        <v>200</v>
      </c>
      <c r="D19">
        <v>100</v>
      </c>
      <c r="E19">
        <v>100</v>
      </c>
    </row>
    <row r="20" spans="2:8">
      <c r="B20" t="s">
        <v>41</v>
      </c>
      <c r="C20">
        <v>200</v>
      </c>
    </row>
    <row r="21" spans="2:8">
      <c r="B21" t="s">
        <v>35</v>
      </c>
      <c r="C21">
        <v>200</v>
      </c>
    </row>
    <row r="23" spans="2:8">
      <c r="B23" t="s">
        <v>40</v>
      </c>
      <c r="G23">
        <v>80</v>
      </c>
      <c r="H23">
        <v>10</v>
      </c>
    </row>
    <row r="25" spans="2:8">
      <c r="B25" t="s">
        <v>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38</vt:i4>
      </vt:variant>
    </vt:vector>
  </HeadingPairs>
  <TitlesOfParts>
    <vt:vector size="38" baseType="lpstr">
      <vt:lpstr>25_12m_4w </vt:lpstr>
      <vt:lpstr>25_12m_3w</vt:lpstr>
      <vt:lpstr>25_12m_3w_이쁘다헤어</vt:lpstr>
      <vt:lpstr>25_12m_2w)</vt:lpstr>
      <vt:lpstr>25_12m_1w</vt:lpstr>
      <vt:lpstr>12월_1주차_스포애니</vt:lpstr>
      <vt:lpstr>25_11m_4w )</vt:lpstr>
      <vt:lpstr>25_11m_3w</vt:lpstr>
      <vt:lpstr>11월_4주차_스포애니</vt:lpstr>
      <vt:lpstr>25_11m_2w (2)</vt:lpstr>
      <vt:lpstr>25_11m_1w</vt:lpstr>
      <vt:lpstr>2510m5w</vt:lpstr>
      <vt:lpstr>2510m4w </vt:lpstr>
      <vt:lpstr>2510m3w (2)</vt:lpstr>
      <vt:lpstr>2510m2w</vt:lpstr>
      <vt:lpstr>스포애니_10월_정산</vt:lpstr>
      <vt:lpstr>Sheet3 (2)</vt:lpstr>
      <vt:lpstr>Sheet4</vt:lpstr>
      <vt:lpstr>Sheet5</vt:lpstr>
      <vt:lpstr>251001</vt:lpstr>
      <vt:lpstr>250926</vt:lpstr>
      <vt:lpstr>Sheet3</vt:lpstr>
      <vt:lpstr>Sheet2</vt:lpstr>
      <vt:lpstr>250924</vt:lpstr>
      <vt:lpstr>250919</vt:lpstr>
      <vt:lpstr>250917</vt:lpstr>
      <vt:lpstr>250912</vt:lpstr>
      <vt:lpstr>250910</vt:lpstr>
      <vt:lpstr>250905</vt:lpstr>
      <vt:lpstr>250903</vt:lpstr>
      <vt:lpstr>250829</vt:lpstr>
      <vt:lpstr>250827</vt:lpstr>
      <vt:lpstr>250822</vt:lpstr>
      <vt:lpstr>250820</vt:lpstr>
      <vt:lpstr>250815</vt:lpstr>
      <vt:lpstr>250813</vt:lpstr>
      <vt:lpstr>250806</vt:lpstr>
      <vt:lpstr>250808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Nkko</dc:creator>
  <cp:lastModifiedBy>남경 고</cp:lastModifiedBy>
  <dcterms:created xsi:type="dcterms:W3CDTF">2025-08-06T07:49:38Z</dcterms:created>
  <dcterms:modified xsi:type="dcterms:W3CDTF">2025-12-26T10:15:25Z</dcterms:modified>
</cp:coreProperties>
</file>